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6.101\private\個人フォルダ\Kita\@課長業務\資料\月初め準備\"/>
    </mc:Choice>
  </mc:AlternateContent>
  <xr:revisionPtr revIDLastSave="0" documentId="13_ncr:1_{7C8DB902-8214-497D-AC48-9D47863A81C7}" xr6:coauthVersionLast="47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作業報告書" sheetId="2" r:id="rId1"/>
    <sheet name="外出交通費精算明細書 (3段)" sheetId="12" r:id="rId2"/>
    <sheet name="外出交通費精算明細書 (4段)" sheetId="13" r:id="rId3"/>
    <sheet name="祝日" sheetId="9" r:id="rId4"/>
    <sheet name="改版履歴" sheetId="11" r:id="rId5"/>
  </sheets>
  <externalReferences>
    <externalReference r:id="rId6"/>
    <externalReference r:id="rId7"/>
  </externalReferences>
  <definedNames>
    <definedName name="aaa">#REF!</definedName>
    <definedName name="bbb">#REF!</definedName>
    <definedName name="ddd">[1]祝日!$F$4:$F$37</definedName>
    <definedName name="_xlnm.Print_Area" localSheetId="4">改版履歴!$A$1:$F$33</definedName>
    <definedName name="_xlnm.Print_Area" localSheetId="1">'外出交通費精算明細書 (3段)'!$A$1:$Z$51</definedName>
    <definedName name="_xlnm.Print_Area" localSheetId="2">'外出交通費精算明細書 (4段)'!$A$1:$Z$51</definedName>
    <definedName name="_xlnm.Print_Area" localSheetId="0">作業報告書!$A$1:$AO$135</definedName>
    <definedName name="テスト">[2]祝日!$F$4:$F$37</definedName>
    <definedName name="祝日">祝日!$B$4:$B$39</definedName>
    <definedName name="進捗欄">作業報告書!$AM$14:$AN$117</definedName>
    <definedName name="部署名">作業報告書!$J$138:$J$144</definedName>
    <definedName name="有給欄下段">#REF!</definedName>
    <definedName name="有給欄種類">作業報告書!$C$139:$C$144</definedName>
    <definedName name="有給欄表">作業報告書!$C$139:$D$144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9" i="13" l="1"/>
  <c r="K5" i="13"/>
  <c r="F5" i="13"/>
  <c r="D5" i="13"/>
  <c r="AC48" i="13"/>
  <c r="AB48" i="13"/>
  <c r="AC47" i="13"/>
  <c r="AB47" i="13"/>
  <c r="AC46" i="13"/>
  <c r="AB46" i="13"/>
  <c r="AC45" i="13"/>
  <c r="AB45" i="13"/>
  <c r="AC44" i="13"/>
  <c r="AB44" i="13"/>
  <c r="AC43" i="13"/>
  <c r="AB43" i="13"/>
  <c r="AC42" i="13"/>
  <c r="AB42" i="13"/>
  <c r="AC41" i="13"/>
  <c r="AB41" i="13"/>
  <c r="AC40" i="13"/>
  <c r="AB40" i="13"/>
  <c r="AC39" i="13"/>
  <c r="AB39" i="13"/>
  <c r="AC38" i="13"/>
  <c r="AB38" i="13"/>
  <c r="AC37" i="13"/>
  <c r="AB37" i="13"/>
  <c r="AC36" i="13"/>
  <c r="AB36" i="13"/>
  <c r="AC35" i="13"/>
  <c r="AB35" i="13"/>
  <c r="AC34" i="13"/>
  <c r="AB34" i="13"/>
  <c r="AC33" i="13"/>
  <c r="AB33" i="13"/>
  <c r="AC32" i="13"/>
  <c r="AB32" i="13"/>
  <c r="AC31" i="13"/>
  <c r="AB31" i="13"/>
  <c r="AC30" i="13"/>
  <c r="AB30" i="13"/>
  <c r="AC29" i="13"/>
  <c r="AB29" i="13"/>
  <c r="AC28" i="13"/>
  <c r="AB28" i="13"/>
  <c r="AC27" i="13"/>
  <c r="AB27" i="13"/>
  <c r="AC26" i="13"/>
  <c r="AB26" i="13"/>
  <c r="AC25" i="13"/>
  <c r="AB25" i="13"/>
  <c r="AC24" i="13"/>
  <c r="AB24" i="13"/>
  <c r="AC23" i="13"/>
  <c r="AB23" i="13"/>
  <c r="AC22" i="13"/>
  <c r="AB22" i="13"/>
  <c r="AC21" i="13"/>
  <c r="AB21" i="13"/>
  <c r="AC20" i="13"/>
  <c r="AB20" i="13"/>
  <c r="AC19" i="13"/>
  <c r="AB19" i="13"/>
  <c r="AC18" i="13"/>
  <c r="AB18" i="13"/>
  <c r="AB17" i="13"/>
  <c r="AC16" i="13"/>
  <c r="AB16" i="13"/>
  <c r="AC15" i="13"/>
  <c r="AB15" i="13"/>
  <c r="AC14" i="13"/>
  <c r="AB14" i="13"/>
  <c r="AD13" i="13" a="1"/>
  <c r="AD13" i="13" s="1"/>
  <c r="AB13" i="13"/>
  <c r="AI34" i="2" l="1"/>
  <c r="AI14" i="2"/>
  <c r="AI30" i="2"/>
  <c r="AI22" i="2"/>
  <c r="AI26" i="2"/>
  <c r="AC48" i="12" l="1"/>
  <c r="AB48" i="12"/>
  <c r="AC47" i="12"/>
  <c r="AB47" i="12"/>
  <c r="AC46" i="12"/>
  <c r="AB46" i="12"/>
  <c r="AC45" i="12"/>
  <c r="AB45" i="12"/>
  <c r="AC44" i="12"/>
  <c r="AB44" i="12"/>
  <c r="AC43" i="12"/>
  <c r="AB43" i="12"/>
  <c r="AC42" i="12"/>
  <c r="AB42" i="12"/>
  <c r="AC41" i="12"/>
  <c r="AB41" i="12"/>
  <c r="AC40" i="12"/>
  <c r="AB40" i="12"/>
  <c r="AC39" i="12"/>
  <c r="AB39" i="12"/>
  <c r="AC38" i="12"/>
  <c r="AB38" i="12"/>
  <c r="AC37" i="12"/>
  <c r="AB37" i="12"/>
  <c r="AC36" i="12"/>
  <c r="AB36" i="12"/>
  <c r="AC35" i="12"/>
  <c r="AB35" i="12"/>
  <c r="AC34" i="12"/>
  <c r="AB34" i="12"/>
  <c r="AC33" i="12"/>
  <c r="AB33" i="12"/>
  <c r="AC32" i="12"/>
  <c r="AB32" i="12"/>
  <c r="AC31" i="12"/>
  <c r="AB31" i="12"/>
  <c r="AC30" i="12"/>
  <c r="AB30" i="12"/>
  <c r="AC29" i="12"/>
  <c r="AB29" i="12"/>
  <c r="AC28" i="12"/>
  <c r="AB28" i="12"/>
  <c r="AC27" i="12"/>
  <c r="AB27" i="12"/>
  <c r="AC26" i="12"/>
  <c r="AB26" i="12"/>
  <c r="AC25" i="12"/>
  <c r="AB25" i="12"/>
  <c r="AC24" i="12"/>
  <c r="AB24" i="12"/>
  <c r="AC23" i="12"/>
  <c r="AB23" i="12"/>
  <c r="AC22" i="12"/>
  <c r="AB22" i="12"/>
  <c r="AC21" i="12"/>
  <c r="AB21" i="12"/>
  <c r="AC20" i="12"/>
  <c r="AB20" i="12"/>
  <c r="AB19" i="12"/>
  <c r="AC18" i="12"/>
  <c r="AB18" i="12"/>
  <c r="AC17" i="12"/>
  <c r="AB17" i="12"/>
  <c r="AB16" i="12"/>
  <c r="AC15" i="12"/>
  <c r="AB15" i="12"/>
  <c r="AC14" i="12"/>
  <c r="AB14" i="12"/>
  <c r="AD13" i="12" a="1"/>
  <c r="AD13" i="12" s="1"/>
  <c r="AB13" i="12"/>
  <c r="F9" i="12" l="1"/>
  <c r="K5" i="12"/>
  <c r="F5" i="12"/>
  <c r="D5" i="12"/>
  <c r="Y49" i="13"/>
  <c r="V48" i="13"/>
  <c r="V47" i="13"/>
  <c r="V46" i="13"/>
  <c r="V45" i="13"/>
  <c r="W45" i="13" s="1"/>
  <c r="V44" i="13"/>
  <c r="V43" i="13"/>
  <c r="V42" i="13"/>
  <c r="V41" i="13"/>
  <c r="W41" i="13" s="1"/>
  <c r="V40" i="13"/>
  <c r="V39" i="13"/>
  <c r="V38" i="13"/>
  <c r="W37" i="13"/>
  <c r="V37" i="13"/>
  <c r="V36" i="13"/>
  <c r="V35" i="13"/>
  <c r="V34" i="13"/>
  <c r="V33" i="13"/>
  <c r="W33" i="13" s="1"/>
  <c r="V32" i="13"/>
  <c r="V31" i="13"/>
  <c r="W29" i="13" s="1"/>
  <c r="V30" i="13"/>
  <c r="V29" i="13"/>
  <c r="V28" i="13"/>
  <c r="V27" i="13"/>
  <c r="V26" i="13"/>
  <c r="V25" i="13"/>
  <c r="W25" i="13" s="1"/>
  <c r="V24" i="13"/>
  <c r="V23" i="13"/>
  <c r="V22" i="13"/>
  <c r="W21" i="13"/>
  <c r="V21" i="13"/>
  <c r="V20" i="13"/>
  <c r="V19" i="13"/>
  <c r="V18" i="13"/>
  <c r="V17" i="13"/>
  <c r="V16" i="13"/>
  <c r="V15" i="13"/>
  <c r="V14" i="13"/>
  <c r="V13" i="13"/>
  <c r="M5" i="13"/>
  <c r="Y49" i="12"/>
  <c r="V48" i="12"/>
  <c r="W46" i="12" s="1"/>
  <c r="V47" i="12"/>
  <c r="V46" i="12"/>
  <c r="V45" i="12"/>
  <c r="W43" i="12" s="1"/>
  <c r="V44" i="12"/>
  <c r="V43" i="12"/>
  <c r="V42" i="12"/>
  <c r="W40" i="12" s="1"/>
  <c r="V41" i="12"/>
  <c r="V40" i="12"/>
  <c r="V39" i="12"/>
  <c r="W37" i="12" s="1"/>
  <c r="V38" i="12"/>
  <c r="V37" i="12"/>
  <c r="V36" i="12"/>
  <c r="W34" i="12" s="1"/>
  <c r="V35" i="12"/>
  <c r="V34" i="12"/>
  <c r="V33" i="12"/>
  <c r="W31" i="12" s="1"/>
  <c r="V32" i="12"/>
  <c r="V31" i="12"/>
  <c r="V30" i="12"/>
  <c r="W28" i="12" s="1"/>
  <c r="V29" i="12"/>
  <c r="V28" i="12"/>
  <c r="V27" i="12"/>
  <c r="W25" i="12" s="1"/>
  <c r="V26" i="12"/>
  <c r="V25" i="12"/>
  <c r="V24" i="12"/>
  <c r="W22" i="12" s="1"/>
  <c r="V23" i="12"/>
  <c r="V22" i="12"/>
  <c r="V21" i="12"/>
  <c r="V20" i="12"/>
  <c r="V19" i="12"/>
  <c r="V18" i="12"/>
  <c r="V17" i="12"/>
  <c r="V16" i="12"/>
  <c r="V15" i="12"/>
  <c r="V14" i="12"/>
  <c r="V13" i="12"/>
  <c r="M5" i="12"/>
  <c r="W17" i="13" l="1"/>
  <c r="AC17" i="13" s="1"/>
  <c r="W13" i="13"/>
  <c r="AC13" i="13" s="1"/>
  <c r="AE13" i="13" s="1" a="1"/>
  <c r="W19" i="12"/>
  <c r="AC19" i="12" s="1"/>
  <c r="W16" i="12"/>
  <c r="AC16" i="12" s="1"/>
  <c r="W13" i="12"/>
  <c r="AC13" i="12" s="1"/>
  <c r="AE13" i="12" s="1" a="1"/>
  <c r="AE13" i="13" l="1"/>
  <c r="AI18" i="2" s="1"/>
  <c r="AI110" i="2"/>
  <c r="AI94" i="2"/>
  <c r="AI78" i="2"/>
  <c r="AI62" i="2"/>
  <c r="AI46" i="2"/>
  <c r="AI66" i="2"/>
  <c r="AI50" i="2"/>
  <c r="AI106" i="2"/>
  <c r="AI90" i="2"/>
  <c r="AI74" i="2"/>
  <c r="AI58" i="2"/>
  <c r="AI42" i="2"/>
  <c r="AI102" i="2"/>
  <c r="AI86" i="2"/>
  <c r="AI70" i="2"/>
  <c r="AI54" i="2"/>
  <c r="AI38" i="2"/>
  <c r="AI98" i="2"/>
  <c r="AI82" i="2"/>
  <c r="AE13" i="12"/>
  <c r="W49" i="13"/>
  <c r="T9" i="13" s="1"/>
  <c r="W49" i="12"/>
  <c r="T9" i="12" s="1"/>
  <c r="U139" i="2" l="1"/>
  <c r="AH110" i="2" l="1"/>
  <c r="AH114" i="2"/>
  <c r="AH22" i="2"/>
  <c r="D144" i="2"/>
  <c r="Z124" i="2" s="1"/>
  <c r="D143" i="2"/>
  <c r="D142" i="2"/>
  <c r="D141" i="2"/>
  <c r="D140" i="2"/>
  <c r="D139" i="2"/>
  <c r="A118" i="2"/>
  <c r="B5" i="2" s="1"/>
  <c r="C5" i="2" s="1"/>
  <c r="D5" i="2" s="1"/>
  <c r="E5" i="2" s="1"/>
  <c r="F5" i="2" s="1"/>
  <c r="G5" i="2" s="1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AF14" i="2"/>
  <c r="AF6" i="2" s="1"/>
  <c r="AE14" i="2"/>
  <c r="AE6" i="2" s="1"/>
  <c r="AD14" i="2"/>
  <c r="AD6" i="2" s="1"/>
  <c r="AC14" i="2"/>
  <c r="AC6" i="2" s="1"/>
  <c r="AB14" i="2"/>
  <c r="AB6" i="2" s="1"/>
  <c r="AA14" i="2"/>
  <c r="AA6" i="2" s="1"/>
  <c r="Z14" i="2"/>
  <c r="Z6" i="2" s="1"/>
  <c r="Y14" i="2"/>
  <c r="Y6" i="2" s="1"/>
  <c r="X14" i="2"/>
  <c r="X6" i="2" s="1"/>
  <c r="W14" i="2"/>
  <c r="W6" i="2" s="1"/>
  <c r="V14" i="2"/>
  <c r="V6" i="2" s="1"/>
  <c r="U14" i="2"/>
  <c r="U6" i="2" s="1"/>
  <c r="T14" i="2"/>
  <c r="T6" i="2" s="1"/>
  <c r="S14" i="2"/>
  <c r="S6" i="2" s="1"/>
  <c r="M14" i="2"/>
  <c r="M6" i="2" s="1"/>
  <c r="L14" i="2"/>
  <c r="L6" i="2" s="1"/>
  <c r="K14" i="2"/>
  <c r="K6" i="2" s="1"/>
  <c r="J14" i="2"/>
  <c r="J6" i="2" s="1"/>
  <c r="I14" i="2"/>
  <c r="I6" i="2" s="1"/>
  <c r="H14" i="2"/>
  <c r="H6" i="2" s="1"/>
  <c r="G14" i="2"/>
  <c r="G6" i="2" s="1"/>
  <c r="F14" i="2"/>
  <c r="F6" i="2" s="1"/>
  <c r="E14" i="2"/>
  <c r="E6" i="2" s="1"/>
  <c r="D14" i="2"/>
  <c r="D6" i="2" s="1"/>
  <c r="C14" i="2"/>
  <c r="C6" i="2" s="1"/>
  <c r="B14" i="2"/>
  <c r="B6" i="2" s="1"/>
  <c r="AH18" i="2"/>
  <c r="U5" i="2" l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T9" i="2"/>
  <c r="N14" i="2"/>
  <c r="N6" i="2" s="1"/>
  <c r="F124" i="2"/>
  <c r="O14" i="2"/>
  <c r="O6" i="2" s="1"/>
  <c r="J124" i="2"/>
  <c r="P14" i="2"/>
  <c r="P6" i="2" s="1"/>
  <c r="N124" i="2"/>
  <c r="Q14" i="2"/>
  <c r="Q6" i="2" s="1"/>
  <c r="R124" i="2"/>
  <c r="R14" i="2"/>
  <c r="R6" i="2" s="1"/>
  <c r="V124" i="2"/>
  <c r="AH90" i="2"/>
  <c r="AH26" i="2"/>
  <c r="AH30" i="2"/>
  <c r="AH34" i="2"/>
  <c r="AH38" i="2"/>
  <c r="AH42" i="2"/>
  <c r="AH46" i="2"/>
  <c r="AH50" i="2"/>
  <c r="AH54" i="2"/>
  <c r="AH58" i="2"/>
  <c r="AH62" i="2"/>
  <c r="AH66" i="2"/>
  <c r="AH70" i="2"/>
  <c r="AH74" i="2"/>
  <c r="AH78" i="2"/>
  <c r="AH82" i="2"/>
  <c r="AH86" i="2"/>
  <c r="AH94" i="2"/>
  <c r="AH98" i="2"/>
  <c r="AH102" i="2"/>
  <c r="AH106" i="2"/>
  <c r="AH6" i="2" l="1"/>
  <c r="F3" i="2" s="1"/>
  <c r="B118" i="2"/>
  <c r="B9" i="2"/>
  <c r="AH14" i="2"/>
  <c r="B7" i="2" l="1"/>
  <c r="B8" i="2" s="1"/>
  <c r="C9" i="2"/>
  <c r="C118" i="2"/>
  <c r="C7" i="2" s="1"/>
  <c r="C8" i="2" s="1"/>
  <c r="D7" i="2" l="1"/>
  <c r="D8" i="2" s="1"/>
  <c r="D9" i="2"/>
  <c r="D118" i="2"/>
  <c r="E9" i="2" l="1"/>
  <c r="E118" i="2"/>
  <c r="E7" i="2" s="1"/>
  <c r="E8" i="2" s="1"/>
  <c r="F9" i="2" l="1"/>
  <c r="F118" i="2"/>
  <c r="F7" i="2" s="1"/>
  <c r="F8" i="2" s="1"/>
  <c r="G9" i="2" l="1"/>
  <c r="G118" i="2"/>
  <c r="G7" i="2" s="1"/>
  <c r="G8" i="2" s="1"/>
  <c r="H9" i="2" l="1"/>
  <c r="H118" i="2"/>
  <c r="H7" i="2" s="1"/>
  <c r="H8" i="2" s="1"/>
  <c r="I9" i="2" l="1"/>
  <c r="I118" i="2"/>
  <c r="I7" i="2" s="1"/>
  <c r="I8" i="2" s="1"/>
  <c r="J9" i="2" l="1"/>
  <c r="J118" i="2"/>
  <c r="J7" i="2" s="1"/>
  <c r="J8" i="2" s="1"/>
  <c r="K9" i="2" l="1"/>
  <c r="K118" i="2"/>
  <c r="K7" i="2" s="1"/>
  <c r="K8" i="2" s="1"/>
  <c r="L9" i="2" l="1"/>
  <c r="L118" i="2"/>
  <c r="L7" i="2" s="1"/>
  <c r="L8" i="2" s="1"/>
  <c r="M9" i="2" l="1"/>
  <c r="M118" i="2"/>
  <c r="M7" i="2" s="1"/>
  <c r="M8" i="2" s="1"/>
  <c r="N9" i="2" l="1"/>
  <c r="N118" i="2"/>
  <c r="N7" i="2" s="1"/>
  <c r="N8" i="2" s="1"/>
  <c r="O9" i="2" l="1"/>
  <c r="O118" i="2"/>
  <c r="O7" i="2" s="1"/>
  <c r="O8" i="2" s="1"/>
  <c r="P9" i="2" l="1"/>
  <c r="P118" i="2"/>
  <c r="P7" i="2" s="1"/>
  <c r="P8" i="2" s="1"/>
  <c r="Q9" i="2" l="1"/>
  <c r="Q7" i="2"/>
  <c r="Q8" i="2" s="1"/>
  <c r="Q118" i="2"/>
  <c r="R9" i="2" l="1"/>
  <c r="R7" i="2"/>
  <c r="R8" i="2" s="1"/>
  <c r="R118" i="2"/>
  <c r="S9" i="2" l="1"/>
  <c r="S118" i="2"/>
  <c r="S7" i="2" s="1"/>
  <c r="S8" i="2" s="1"/>
  <c r="T118" i="2" l="1"/>
  <c r="T7" i="2" s="1"/>
  <c r="T8" i="2" s="1"/>
  <c r="U9" i="2" l="1"/>
  <c r="U118" i="2"/>
  <c r="U7" i="2" s="1"/>
  <c r="U8" i="2" s="1"/>
  <c r="V9" i="2" l="1"/>
  <c r="V118" i="2"/>
  <c r="V7" i="2" s="1"/>
  <c r="V8" i="2" s="1"/>
  <c r="W9" i="2" l="1"/>
  <c r="W118" i="2"/>
  <c r="W7" i="2" s="1"/>
  <c r="W8" i="2" s="1"/>
  <c r="X9" i="2" l="1"/>
  <c r="X118" i="2"/>
  <c r="X7" i="2" s="1"/>
  <c r="X8" i="2" s="1"/>
  <c r="Y9" i="2" l="1"/>
  <c r="Y118" i="2"/>
  <c r="Y7" i="2" s="1"/>
  <c r="Y8" i="2" s="1"/>
  <c r="Z9" i="2" l="1"/>
  <c r="Z118" i="2"/>
  <c r="Z7" i="2" s="1"/>
  <c r="Z8" i="2" s="1"/>
  <c r="AA9" i="2" l="1"/>
  <c r="AA118" i="2"/>
  <c r="AA7" i="2" s="1"/>
  <c r="AA8" i="2" s="1"/>
  <c r="AB9" i="2" l="1"/>
  <c r="AB118" i="2"/>
  <c r="AB7" i="2" s="1"/>
  <c r="AB8" i="2" s="1"/>
  <c r="AC9" i="2" l="1"/>
  <c r="AC118" i="2"/>
  <c r="AC7" i="2" s="1"/>
  <c r="AC8" i="2" s="1"/>
  <c r="AD7" i="2" l="1"/>
  <c r="AD8" i="2" s="1"/>
  <c r="AD9" i="2"/>
  <c r="AD118" i="2"/>
  <c r="AE9" i="2" l="1"/>
  <c r="AE118" i="2"/>
  <c r="AE7" i="2" s="1"/>
  <c r="AE8" i="2" s="1"/>
  <c r="AF118" i="2" l="1"/>
  <c r="F2" i="2" s="1"/>
  <c r="AF9" i="2"/>
  <c r="AH9" i="2" s="1"/>
  <c r="AM6" i="2" s="1"/>
  <c r="AF7" i="2" l="1"/>
  <c r="AF8" i="2" l="1"/>
  <c r="AH8" i="2" s="1"/>
  <c r="AL6" i="2" s="1"/>
  <c r="AH7" i="2"/>
  <c r="AK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<sst xmlns="http://schemas.openxmlformats.org/spreadsheetml/2006/main" count="329" uniqueCount="179">
  <si>
    <t>元旦</t>
    <rPh sb="0" eb="2">
      <t>ガンタン</t>
    </rPh>
    <phoneticPr fontId="3"/>
  </si>
  <si>
    <t>建国記念日</t>
    <rPh sb="0" eb="2">
      <t>ケンコク</t>
    </rPh>
    <rPh sb="2" eb="5">
      <t>キネンビ</t>
    </rPh>
    <phoneticPr fontId="3"/>
  </si>
  <si>
    <t>春分の日</t>
    <rPh sb="0" eb="2">
      <t>シュンブン</t>
    </rPh>
    <rPh sb="3" eb="4">
      <t>ヒ</t>
    </rPh>
    <phoneticPr fontId="3"/>
  </si>
  <si>
    <t>残業時間</t>
    <rPh sb="0" eb="2">
      <t>ザンギョウ</t>
    </rPh>
    <rPh sb="2" eb="4">
      <t>ジカン</t>
    </rPh>
    <phoneticPr fontId="3"/>
  </si>
  <si>
    <t>年</t>
    <rPh sb="0" eb="1">
      <t>ネン</t>
    </rPh>
    <phoneticPr fontId="3"/>
  </si>
  <si>
    <t>月分</t>
    <rPh sb="0" eb="1">
      <t>ツキ</t>
    </rPh>
    <rPh sb="1" eb="2">
      <t>ブン</t>
    </rPh>
    <phoneticPr fontId="3"/>
  </si>
  <si>
    <t>内容</t>
    <rPh sb="0" eb="2">
      <t>ナイヨウ</t>
    </rPh>
    <phoneticPr fontId="3"/>
  </si>
  <si>
    <t>: 太枠内入力箇所</t>
    <phoneticPr fontId="3"/>
  </si>
  <si>
    <t>作 業 報 告 書</t>
    <phoneticPr fontId="3"/>
  </si>
  <si>
    <t>作業
時間</t>
    <rPh sb="0" eb="2">
      <t>サギョウ</t>
    </rPh>
    <rPh sb="3" eb="5">
      <t>ジカン</t>
    </rPh>
    <phoneticPr fontId="3"/>
  </si>
  <si>
    <t>日付</t>
    <rPh sb="0" eb="2">
      <t>ヒヅケ</t>
    </rPh>
    <phoneticPr fontId="3"/>
  </si>
  <si>
    <t>進捗状況、問題点と対策</t>
    <rPh sb="0" eb="2">
      <t>シンチョク</t>
    </rPh>
    <rPh sb="2" eb="4">
      <t>ジョウキョウ</t>
    </rPh>
    <rPh sb="5" eb="8">
      <t>モンダイテン</t>
    </rPh>
    <rPh sb="9" eb="11">
      <t>タイサク</t>
    </rPh>
    <phoneticPr fontId="3"/>
  </si>
  <si>
    <t>令和</t>
    <rPh sb="0" eb="2">
      <t>レイワ</t>
    </rPh>
    <phoneticPr fontId="3"/>
  </si>
  <si>
    <t>天皇誕生日</t>
    <rPh sb="0" eb="2">
      <t>テンノウ</t>
    </rPh>
    <rPh sb="2" eb="5">
      <t>タンジョウビ</t>
    </rPh>
    <phoneticPr fontId="3"/>
  </si>
  <si>
    <t>その他（有給以外）
社内打合せ・研修等
オーダー以外の作業</t>
    <phoneticPr fontId="3"/>
  </si>
  <si>
    <t>社員番号</t>
    <rPh sb="0" eb="4">
      <t>シャインバンゴウ</t>
    </rPh>
    <phoneticPr fontId="3"/>
  </si>
  <si>
    <t>氏名</t>
    <rPh sb="0" eb="2">
      <t>シメイ</t>
    </rPh>
    <phoneticPr fontId="3"/>
  </si>
  <si>
    <t>ソフトウェア事業部</t>
    <phoneticPr fontId="3"/>
  </si>
  <si>
    <t>月工数</t>
    <rPh sb="0" eb="3">
      <t>ツキコウスウ</t>
    </rPh>
    <phoneticPr fontId="3"/>
  </si>
  <si>
    <t>総工数</t>
    <rPh sb="0" eb="3">
      <t>ソウコウスウ</t>
    </rPh>
    <phoneticPr fontId="3"/>
  </si>
  <si>
    <t>H</t>
    <phoneticPr fontId="3"/>
  </si>
  <si>
    <t>合計</t>
    <rPh sb="0" eb="2">
      <t>ゴウケイ</t>
    </rPh>
    <phoneticPr fontId="3"/>
  </si>
  <si>
    <t>午前休</t>
    <rPh sb="0" eb="2">
      <t>ゴゼン</t>
    </rPh>
    <rPh sb="2" eb="3">
      <t>キュウ</t>
    </rPh>
    <phoneticPr fontId="3"/>
  </si>
  <si>
    <t>有給休暇(1日)</t>
    <rPh sb="0" eb="2">
      <t>ユウキュウ</t>
    </rPh>
    <rPh sb="2" eb="4">
      <t>キュウカ</t>
    </rPh>
    <rPh sb="6" eb="7">
      <t>ニチ</t>
    </rPh>
    <phoneticPr fontId="3"/>
  </si>
  <si>
    <t>午後休</t>
    <phoneticPr fontId="3"/>
  </si>
  <si>
    <t>振替休暇取得予定</t>
    <rPh sb="0" eb="2">
      <t>フリカエ</t>
    </rPh>
    <rPh sb="2" eb="4">
      <t>キュウカ</t>
    </rPh>
    <rPh sb="4" eb="6">
      <t>シュトク</t>
    </rPh>
    <rPh sb="6" eb="8">
      <t>ヨテイ</t>
    </rPh>
    <phoneticPr fontId="3"/>
  </si>
  <si>
    <t>振替休暇取得</t>
    <rPh sb="0" eb="2">
      <t>フリカエ</t>
    </rPh>
    <rPh sb="2" eb="4">
      <t>キュウカ</t>
    </rPh>
    <rPh sb="4" eb="6">
      <t>シュトク</t>
    </rPh>
    <phoneticPr fontId="3"/>
  </si>
  <si>
    <t>上段</t>
    <rPh sb="0" eb="2">
      <t>ジョウダン</t>
    </rPh>
    <phoneticPr fontId="3"/>
  </si>
  <si>
    <t>下段</t>
    <rPh sb="0" eb="2">
      <t>ゲダン</t>
    </rPh>
    <phoneticPr fontId="3"/>
  </si>
  <si>
    <t>有</t>
    <rPh sb="0" eb="1">
      <t>ユウ</t>
    </rPh>
    <phoneticPr fontId="3"/>
  </si>
  <si>
    <t>前休</t>
    <rPh sb="0" eb="1">
      <t>マエ</t>
    </rPh>
    <rPh sb="1" eb="2">
      <t>キュウ</t>
    </rPh>
    <phoneticPr fontId="3"/>
  </si>
  <si>
    <t>後休</t>
    <phoneticPr fontId="3"/>
  </si>
  <si>
    <t>振予</t>
    <rPh sb="0" eb="1">
      <t>フル</t>
    </rPh>
    <rPh sb="1" eb="2">
      <t>ヨ</t>
    </rPh>
    <phoneticPr fontId="3"/>
  </si>
  <si>
    <t>振取</t>
    <rPh sb="0" eb="1">
      <t>フル</t>
    </rPh>
    <rPh sb="1" eb="2">
      <t>シュ</t>
    </rPh>
    <phoneticPr fontId="3"/>
  </si>
  <si>
    <t>一斉</t>
    <rPh sb="0" eb="2">
      <t>イッセイ</t>
    </rPh>
    <phoneticPr fontId="3"/>
  </si>
  <si>
    <t>■ w/o99999 その他(有給) 欄の説明</t>
    <rPh sb="13" eb="14">
      <t>タ</t>
    </rPh>
    <rPh sb="15" eb="17">
      <t>ユウキュウ</t>
    </rPh>
    <rPh sb="19" eb="20">
      <t>ラン</t>
    </rPh>
    <rPh sb="21" eb="23">
      <t>セツメイ</t>
    </rPh>
    <phoneticPr fontId="3"/>
  </si>
  <si>
    <t>工数</t>
    <phoneticPr fontId="3"/>
  </si>
  <si>
    <t>前休</t>
    <rPh sb="0" eb="1">
      <t>ゼン</t>
    </rPh>
    <rPh sb="1" eb="2">
      <t>ヤス</t>
    </rPh>
    <phoneticPr fontId="3"/>
  </si>
  <si>
    <t>後休</t>
    <rPh sb="0" eb="1">
      <t>ウシ</t>
    </rPh>
    <rPh sb="1" eb="2">
      <t>ヤス</t>
    </rPh>
    <phoneticPr fontId="3"/>
  </si>
  <si>
    <t>w/o99999 その他(有給) 欄の表</t>
    <rPh sb="11" eb="12">
      <t>タ</t>
    </rPh>
    <rPh sb="13" eb="15">
      <t>ユウキュウ</t>
    </rPh>
    <rPh sb="17" eb="18">
      <t>ラン</t>
    </rPh>
    <rPh sb="19" eb="20">
      <t>ヒョウ</t>
    </rPh>
    <phoneticPr fontId="3"/>
  </si>
  <si>
    <t>部署名の表</t>
    <rPh sb="0" eb="2">
      <t>ブショ</t>
    </rPh>
    <rPh sb="2" eb="3">
      <t>メイ</t>
    </rPh>
    <rPh sb="4" eb="5">
      <t>ヒョウ</t>
    </rPh>
    <phoneticPr fontId="3"/>
  </si>
  <si>
    <t>ＳＰＡ</t>
    <phoneticPr fontId="3"/>
  </si>
  <si>
    <t>システム部 第1課</t>
    <rPh sb="4" eb="5">
      <t>ブ</t>
    </rPh>
    <rPh sb="6" eb="7">
      <t>ダイ</t>
    </rPh>
    <rPh sb="8" eb="9">
      <t>カ</t>
    </rPh>
    <phoneticPr fontId="3"/>
  </si>
  <si>
    <t>システム部 第2課</t>
    <rPh sb="4" eb="5">
      <t>ブ</t>
    </rPh>
    <rPh sb="6" eb="7">
      <t>ダイ</t>
    </rPh>
    <rPh sb="8" eb="9">
      <t>カ</t>
    </rPh>
    <phoneticPr fontId="3"/>
  </si>
  <si>
    <t>システム部 第3課</t>
    <rPh sb="4" eb="5">
      <t>ブ</t>
    </rPh>
    <rPh sb="6" eb="7">
      <t>ダイ</t>
    </rPh>
    <rPh sb="8" eb="9">
      <t>カ</t>
    </rPh>
    <phoneticPr fontId="3"/>
  </si>
  <si>
    <t>技術部 第1課</t>
    <rPh sb="0" eb="2">
      <t>ギジュツ</t>
    </rPh>
    <rPh sb="2" eb="3">
      <t>ブ</t>
    </rPh>
    <rPh sb="4" eb="5">
      <t>ダイ</t>
    </rPh>
    <rPh sb="6" eb="7">
      <t>カ</t>
    </rPh>
    <phoneticPr fontId="3"/>
  </si>
  <si>
    <t>技術部 第2課</t>
    <rPh sb="0" eb="2">
      <t>ギジュツ</t>
    </rPh>
    <rPh sb="2" eb="3">
      <t>ブ</t>
    </rPh>
    <rPh sb="4" eb="5">
      <t>ダイ</t>
    </rPh>
    <rPh sb="6" eb="7">
      <t>カ</t>
    </rPh>
    <phoneticPr fontId="3"/>
  </si>
  <si>
    <t>技術部 第3課</t>
    <rPh sb="0" eb="2">
      <t>ギジュツ</t>
    </rPh>
    <rPh sb="2" eb="3">
      <t>ブ</t>
    </rPh>
    <rPh sb="4" eb="5">
      <t>ダイ</t>
    </rPh>
    <rPh sb="6" eb="7">
      <t>カ</t>
    </rPh>
    <phoneticPr fontId="3"/>
  </si>
  <si>
    <t>（その他備考）</t>
    <rPh sb="3" eb="4">
      <t>タ</t>
    </rPh>
    <rPh sb="4" eb="6">
      <t>ビコウ</t>
    </rPh>
    <phoneticPr fontId="3"/>
  </si>
  <si>
    <t>種類</t>
    <rPh sb="0" eb="2">
      <t>シュルイ</t>
    </rPh>
    <phoneticPr fontId="3"/>
  </si>
  <si>
    <t>工数</t>
    <rPh sb="0" eb="2">
      <t>コウスウ</t>
    </rPh>
    <phoneticPr fontId="3"/>
  </si>
  <si>
    <t>その他（有給）
※中段:種類選択
※下段:振予/振取の日付</t>
    <rPh sb="12" eb="14">
      <t>シュルイ</t>
    </rPh>
    <rPh sb="14" eb="16">
      <t>センタク</t>
    </rPh>
    <rPh sb="18" eb="20">
      <t>ゲダン</t>
    </rPh>
    <rPh sb="24" eb="25">
      <t>フ</t>
    </rPh>
    <rPh sb="27" eb="29">
      <t>ヒヅケ</t>
    </rPh>
    <phoneticPr fontId="3"/>
  </si>
  <si>
    <t>中段</t>
    <rPh sb="0" eb="2">
      <t>チュウダン</t>
    </rPh>
    <phoneticPr fontId="3"/>
  </si>
  <si>
    <t>※中段で種類を選択することで上段の工数は自動入力されます。</t>
    <rPh sb="1" eb="3">
      <t>チュウダン</t>
    </rPh>
    <rPh sb="4" eb="6">
      <t>シュルイ</t>
    </rPh>
    <rPh sb="7" eb="9">
      <t>センタク</t>
    </rPh>
    <rPh sb="14" eb="16">
      <t>ジョウダン</t>
    </rPh>
    <rPh sb="17" eb="19">
      <t>コウスウ</t>
    </rPh>
    <rPh sb="20" eb="24">
      <t>ジドウニュウリョク</t>
    </rPh>
    <phoneticPr fontId="3"/>
  </si>
  <si>
    <t>休出日</t>
    <rPh sb="0" eb="2">
      <t>キュウシュツ</t>
    </rPh>
    <rPh sb="2" eb="3">
      <t>ビ</t>
    </rPh>
    <phoneticPr fontId="3"/>
  </si>
  <si>
    <t>振休予定日</t>
    <rPh sb="0" eb="2">
      <t>フリキュウ</t>
    </rPh>
    <rPh sb="2" eb="4">
      <t>ヨテイ</t>
    </rPh>
    <rPh sb="4" eb="5">
      <t>ビ</t>
    </rPh>
    <phoneticPr fontId="3"/>
  </si>
  <si>
    <t>※振予(振替休暇取得予定)の場合は 下段 に 振替休暇の取得予定日 "月/日" を記載する。未定の場合は "未定" と記載する。</t>
    <rPh sb="1" eb="2">
      <t>フ</t>
    </rPh>
    <rPh sb="2" eb="3">
      <t>ヨ</t>
    </rPh>
    <rPh sb="4" eb="6">
      <t>フリカエ</t>
    </rPh>
    <rPh sb="6" eb="8">
      <t>キュウカ</t>
    </rPh>
    <rPh sb="8" eb="10">
      <t>シュトク</t>
    </rPh>
    <rPh sb="10" eb="12">
      <t>ヨテイ</t>
    </rPh>
    <rPh sb="14" eb="16">
      <t>バアイ</t>
    </rPh>
    <rPh sb="18" eb="20">
      <t>ゲダン</t>
    </rPh>
    <rPh sb="23" eb="24">
      <t>フ</t>
    </rPh>
    <rPh sb="24" eb="27">
      <t>タイキュウカ</t>
    </rPh>
    <rPh sb="28" eb="33">
      <t>シュトクヨテイビ</t>
    </rPh>
    <rPh sb="35" eb="36">
      <t>ツキ</t>
    </rPh>
    <rPh sb="37" eb="38">
      <t>ヒ</t>
    </rPh>
    <rPh sb="41" eb="43">
      <t>キサイ</t>
    </rPh>
    <rPh sb="46" eb="48">
      <t>ミテイ</t>
    </rPh>
    <rPh sb="49" eb="51">
      <t>バアイ</t>
    </rPh>
    <rPh sb="54" eb="56">
      <t>ミテイ</t>
    </rPh>
    <rPh sb="59" eb="61">
      <t>キサイ</t>
    </rPh>
    <phoneticPr fontId="3"/>
  </si>
  <si>
    <t>※振取(振替休暇取得)　　の場合は 下段 に 休出した日(振替休暇元の日付) "月/日" を記載する。</t>
    <rPh sb="1" eb="2">
      <t>フ</t>
    </rPh>
    <rPh sb="2" eb="3">
      <t>トリ</t>
    </rPh>
    <rPh sb="4" eb="6">
      <t>フリカエ</t>
    </rPh>
    <rPh sb="6" eb="8">
      <t>キュウカ</t>
    </rPh>
    <rPh sb="8" eb="10">
      <t>シュトク</t>
    </rPh>
    <rPh sb="14" eb="16">
      <t>バアイ</t>
    </rPh>
    <rPh sb="18" eb="20">
      <t>ゲダン</t>
    </rPh>
    <rPh sb="23" eb="25">
      <t>キュウシュツ</t>
    </rPh>
    <rPh sb="27" eb="28">
      <t>ヒ</t>
    </rPh>
    <rPh sb="29" eb="31">
      <t>フリカエ</t>
    </rPh>
    <rPh sb="31" eb="33">
      <t>キュウカ</t>
    </rPh>
    <rPh sb="33" eb="34">
      <t>モト</t>
    </rPh>
    <rPh sb="35" eb="37">
      <t>ヒヅケ</t>
    </rPh>
    <rPh sb="40" eb="41">
      <t>ツキ</t>
    </rPh>
    <rPh sb="42" eb="43">
      <t>ヒ</t>
    </rPh>
    <rPh sb="46" eb="48">
      <t>キサイ</t>
    </rPh>
    <phoneticPr fontId="3"/>
  </si>
  <si>
    <t>空欄</t>
    <rPh sb="0" eb="2">
      <t>クウラン</t>
    </rPh>
    <phoneticPr fontId="3"/>
  </si>
  <si>
    <t>振取</t>
    <phoneticPr fontId="3"/>
  </si>
  <si>
    <t>振予</t>
    <phoneticPr fontId="3"/>
  </si>
  <si>
    <t>一斉有給</t>
    <rPh sb="0" eb="4">
      <t>イッセイユウキュウ</t>
    </rPh>
    <phoneticPr fontId="3"/>
  </si>
  <si>
    <t>年始</t>
    <rPh sb="0" eb="2">
      <t>ネンシ</t>
    </rPh>
    <phoneticPr fontId="3"/>
  </si>
  <si>
    <t>Format Version</t>
    <phoneticPr fontId="3"/>
  </si>
  <si>
    <t>改版履歴</t>
    <phoneticPr fontId="3"/>
  </si>
  <si>
    <t>・w/o 99999 その他(有給)の B9:AF9 セル で使用している IFNA() が Excel2010 で動作しないため、 IFERROR() に置き換えた。</t>
    <rPh sb="13" eb="14">
      <t>タ</t>
    </rPh>
    <rPh sb="15" eb="17">
      <t>ユウキュウ</t>
    </rPh>
    <rPh sb="31" eb="33">
      <t>シヨウ</t>
    </rPh>
    <rPh sb="58" eb="60">
      <t>ドウサ</t>
    </rPh>
    <rPh sb="78" eb="79">
      <t>オ</t>
    </rPh>
    <rPh sb="80" eb="81">
      <t>カ</t>
    </rPh>
    <phoneticPr fontId="3"/>
  </si>
  <si>
    <t>・部課名はリストからの選択に変更。
・最下部の w/o99999 の説明内容の変更。
・w/o 99999 その他(有給) 欄を３段表示(時間/種類/日付)に変更。
・振休/振取 は その他(有給) の合計には含めない。
・工数入力部分の入力制限追加(0.0～24.0の数値のみ有効)。
・マクロ有効ブックに変更 (拡張子を xls → xlsm に変更)。</t>
    <phoneticPr fontId="3"/>
  </si>
  <si>
    <t>・工数合計、残業時間など最下部にあったものを一番上にしました。
・w/o 99999 その他(有給) 欄は１番目に固定配置しました。
・有給部分はリストから選択するようにして、時間は自動で表示するようにしました。
・w/o 99998 その他(有給以外) 欄は２番目に固定配置しました。
・保存時に表示倍率 85%、 A1セルへカーソル移動 (デフォルトの見た目)。</t>
    <phoneticPr fontId="3"/>
  </si>
  <si>
    <t>小菅</t>
    <rPh sb="0" eb="1">
      <t>コスゲ</t>
    </rPh>
    <phoneticPr fontId="3"/>
  </si>
  <si>
    <t>小菅</t>
    <rPh sb="0" eb="2">
      <t>コスゲ</t>
    </rPh>
    <phoneticPr fontId="3"/>
  </si>
  <si>
    <t>対応</t>
    <rPh sb="0" eb="2">
      <t>タイオウ</t>
    </rPh>
    <phoneticPr fontId="3"/>
  </si>
  <si>
    <t>2.0</t>
    <phoneticPr fontId="3"/>
  </si>
  <si>
    <t>2.3</t>
    <phoneticPr fontId="3"/>
  </si>
  <si>
    <t>・オーダー合計工数欄(AH9:AH105)に条件付き書式を追加。
　条件付き書式内容：オーダー番号と作業項目が入力されていない場合はオーダー合計工数は表示しない(文字色を白色にする)</t>
    <rPh sb="5" eb="10">
      <t>ゴウケイコウスウラン</t>
    </rPh>
    <rPh sb="22" eb="25">
      <t>ジョウケンツ</t>
    </rPh>
    <rPh sb="26" eb="28">
      <t>ショシキ</t>
    </rPh>
    <rPh sb="29" eb="31">
      <t>ツイカ</t>
    </rPh>
    <rPh sb="34" eb="37">
      <t>ジョウケンツ</t>
    </rPh>
    <rPh sb="38" eb="40">
      <t>ショシキ</t>
    </rPh>
    <rPh sb="40" eb="42">
      <t>ナイヨウ</t>
    </rPh>
    <rPh sb="81" eb="84">
      <t>モジショク</t>
    </rPh>
    <rPh sb="85" eb="87">
      <t>シロイロ</t>
    </rPh>
    <phoneticPr fontId="3"/>
  </si>
  <si>
    <t>1日の工数</t>
    <rPh sb="1" eb="2">
      <t>ニチ</t>
    </rPh>
    <rPh sb="3" eb="5">
      <t>コウスウ</t>
    </rPh>
    <phoneticPr fontId="3"/>
  </si>
  <si>
    <t>・総工数が月工数に不足している場合は赤文字表示させる。(条件付き書式の追加)
・日工数列(109列)で "B$5" と 5行目固定となっていたものを外した。(将来、5行目が日付列ではなくなった場合を考慮)
・1日の工数(U128)設定を追加し、日工数列(109列)の計算式で使用するようにした。
・残業時間列(7列目)の計算式を見直して簡素化した。("工数列(6列目)" - "日工数列(109列)" に変更)
・当月ではない日付の文字色を変更。(条件付き書式の修正)
・工数入力欄は右揃えに変更。
・工数列(6列目)、残業時間列(7列目)、日工数列(109列)を
　表示形式 "数値"、"小数点以下1桁"、"負数はマイナス符号付きの赤字" の 右揃え に変更。
　工数入力不足時に残業時間列(7列目)が赤字で表示されることにより、記入漏れ警告を行えることを兼ねています。
・"■ w/o99999 その他(有給) 欄の説明" の誤記修正。
　一斉有給の中段が "一斉有給" となっていたので "一斉" に訂正。</t>
    <rPh sb="1" eb="4">
      <t>ソウコウスウ</t>
    </rPh>
    <rPh sb="5" eb="8">
      <t>ツキコウスウ</t>
    </rPh>
    <rPh sb="9" eb="11">
      <t>フソク</t>
    </rPh>
    <rPh sb="15" eb="17">
      <t>バアイ</t>
    </rPh>
    <rPh sb="18" eb="19">
      <t>アカ</t>
    </rPh>
    <rPh sb="19" eb="21">
      <t>モジ</t>
    </rPh>
    <rPh sb="21" eb="23">
      <t>ヒョウジ</t>
    </rPh>
    <rPh sb="35" eb="37">
      <t>ツイカ</t>
    </rPh>
    <rPh sb="105" eb="106">
      <t>ニチ</t>
    </rPh>
    <rPh sb="107" eb="109">
      <t>コウスウ</t>
    </rPh>
    <rPh sb="115" eb="117">
      <t>セッテイ</t>
    </rPh>
    <rPh sb="118" eb="120">
      <t>ツイカ</t>
    </rPh>
    <rPh sb="133" eb="135">
      <t>ケイサン</t>
    </rPh>
    <rPh sb="135" eb="136">
      <t>シキ</t>
    </rPh>
    <rPh sb="137" eb="139">
      <t>シヨウ</t>
    </rPh>
    <rPh sb="168" eb="171">
      <t>カンソカ</t>
    </rPh>
    <phoneticPr fontId="3"/>
  </si>
  <si>
    <t>[注意事項]</t>
    <rPh sb="1" eb="3">
      <t>チュウイ</t>
    </rPh>
    <rPh sb="3" eb="5">
      <t>ジコウ</t>
    </rPh>
    <phoneticPr fontId="3"/>
  </si>
  <si>
    <t>・一斉有給を祝日一覧に入れると月工数が変わってしまう為、入れないで下さい！！</t>
    <phoneticPr fontId="3"/>
  </si>
  <si>
    <t>祝日
( yyyy/m/d  で入力 )</t>
    <rPh sb="0" eb="2">
      <t>シュクジツ</t>
    </rPh>
    <rPh sb="16" eb="18">
      <t>ニュウリョク</t>
    </rPh>
    <phoneticPr fontId="3"/>
  </si>
  <si>
    <t>・祝日シートの設定、表示内容を変更。</t>
    <rPh sb="1" eb="3">
      <t>シュクジツ</t>
    </rPh>
    <rPh sb="7" eb="9">
      <t>セッテイ</t>
    </rPh>
    <rPh sb="10" eb="14">
      <t>ヒョウジナイヨウ</t>
    </rPh>
    <rPh sb="15" eb="17">
      <t>ヘンコウ</t>
    </rPh>
    <phoneticPr fontId="3"/>
  </si>
  <si>
    <t>・1日の工数(U128)設定は "8.0" と "6.0" にリスト選択にした。</t>
    <rPh sb="34" eb="36">
      <t>センタク</t>
    </rPh>
    <phoneticPr fontId="3"/>
  </si>
  <si>
    <t>・ファイル→情報→プロパティ→詳細プロパティ→ファイルの概要 を修正。
　　タイトル　　：(なし)　→　作業報告書
　　サブタイトル：(なし)　→　Ver.2.3
　　作成者　　　：株式会社 日放電子　→　ソフトウェア事業部
　　会社名　　　：製・産部　→　株式会社 日放電子</t>
    <rPh sb="6" eb="8">
      <t>ジョウホウ</t>
    </rPh>
    <rPh sb="15" eb="17">
      <t>ショウサイ</t>
    </rPh>
    <rPh sb="28" eb="30">
      <t>ガイヨウ</t>
    </rPh>
    <rPh sb="32" eb="34">
      <t>シュウセイ</t>
    </rPh>
    <rPh sb="52" eb="57">
      <t>サギョウホウコクショ</t>
    </rPh>
    <rPh sb="84" eb="87">
      <t>サクセイシャ</t>
    </rPh>
    <rPh sb="91" eb="93">
      <t>カブシキ</t>
    </rPh>
    <rPh sb="93" eb="95">
      <t>カイシャ</t>
    </rPh>
    <rPh sb="96" eb="100">
      <t>ニッポウデンシ</t>
    </rPh>
    <rPh sb="109" eb="112">
      <t>ジギョウブ</t>
    </rPh>
    <rPh sb="115" eb="118">
      <t>カイシャメイ</t>
    </rPh>
    <phoneticPr fontId="3"/>
  </si>
  <si>
    <t>残業時間</t>
    <rPh sb="0" eb="2">
      <t>ザンギョウ</t>
    </rPh>
    <rPh sb="2" eb="4">
      <t>ジカン</t>
    </rPh>
    <phoneticPr fontId="3"/>
  </si>
  <si>
    <t>夜間作業時間</t>
    <rPh sb="0" eb="2">
      <t>ヤカン</t>
    </rPh>
    <rPh sb="2" eb="4">
      <t>サギョウ</t>
    </rPh>
    <rPh sb="4" eb="6">
      <t>ジカン</t>
    </rPh>
    <phoneticPr fontId="3"/>
  </si>
  <si>
    <t>休日出勤時間</t>
    <rPh sb="0" eb="2">
      <t>キュウジツ</t>
    </rPh>
    <rPh sb="2" eb="4">
      <t>シュッキン</t>
    </rPh>
    <rPh sb="4" eb="6">
      <t>ジカン</t>
    </rPh>
    <phoneticPr fontId="3"/>
  </si>
  <si>
    <t>#####</t>
    <phoneticPr fontId="3"/>
  </si>
  <si>
    <t>2022(令和4)年度 祝日一覧</t>
    <rPh sb="5" eb="7">
      <t>レイワ</t>
    </rPh>
    <phoneticPr fontId="3"/>
  </si>
  <si>
    <t>昭和の日</t>
    <rPh sb="0" eb="2">
      <t>ショウワ</t>
    </rPh>
    <rPh sb="3" eb="4">
      <t>ヒ</t>
    </rPh>
    <phoneticPr fontId="3"/>
  </si>
  <si>
    <t>憲法記念日</t>
    <rPh sb="0" eb="2">
      <t>ケンポウ</t>
    </rPh>
    <rPh sb="2" eb="5">
      <t>キネンビ</t>
    </rPh>
    <phoneticPr fontId="3"/>
  </si>
  <si>
    <t>みどりの日</t>
    <rPh sb="4" eb="5">
      <t>ヒ</t>
    </rPh>
    <phoneticPr fontId="3"/>
  </si>
  <si>
    <t>こどもの日</t>
    <rPh sb="4" eb="5">
      <t>ヒ</t>
    </rPh>
    <phoneticPr fontId="3"/>
  </si>
  <si>
    <t>海の日</t>
    <rPh sb="0" eb="1">
      <t>ウミ</t>
    </rPh>
    <rPh sb="2" eb="3">
      <t>ヒ</t>
    </rPh>
    <phoneticPr fontId="3"/>
  </si>
  <si>
    <t>夏休み(一斉有給でない)</t>
    <rPh sb="0" eb="2">
      <t>ナツヤス</t>
    </rPh>
    <rPh sb="4" eb="6">
      <t>イッセイ</t>
    </rPh>
    <rPh sb="6" eb="8">
      <t>ユウキュウ</t>
    </rPh>
    <phoneticPr fontId="3"/>
  </si>
  <si>
    <t>山の日</t>
    <rPh sb="0" eb="1">
      <t>ヤマ</t>
    </rPh>
    <rPh sb="2" eb="3">
      <t>ヒ</t>
    </rPh>
    <phoneticPr fontId="3"/>
  </si>
  <si>
    <t>敬老の日</t>
    <rPh sb="0" eb="2">
      <t>ケイロウ</t>
    </rPh>
    <rPh sb="3" eb="4">
      <t>ヒ</t>
    </rPh>
    <phoneticPr fontId="3"/>
  </si>
  <si>
    <t>秋分の日</t>
    <rPh sb="0" eb="2">
      <t>シュウブン</t>
    </rPh>
    <rPh sb="3" eb="4">
      <t>ヒ</t>
    </rPh>
    <phoneticPr fontId="3"/>
  </si>
  <si>
    <t>スポーツの日</t>
    <rPh sb="5" eb="6">
      <t>ヒ</t>
    </rPh>
    <phoneticPr fontId="3"/>
  </si>
  <si>
    <t>文化の日</t>
    <rPh sb="0" eb="2">
      <t>ブンカ</t>
    </rPh>
    <rPh sb="3" eb="4">
      <t>ヒ</t>
    </rPh>
    <phoneticPr fontId="3"/>
  </si>
  <si>
    <t>勤労感謝の日</t>
    <rPh sb="0" eb="2">
      <t>キンロウ</t>
    </rPh>
    <rPh sb="2" eb="4">
      <t>カンシャ</t>
    </rPh>
    <rPh sb="5" eb="6">
      <t>ヒ</t>
    </rPh>
    <phoneticPr fontId="3"/>
  </si>
  <si>
    <t>冬休み</t>
    <rPh sb="0" eb="2">
      <t>フユヤス</t>
    </rPh>
    <phoneticPr fontId="3"/>
  </si>
  <si>
    <t>三が日</t>
    <rPh sb="0" eb="1">
      <t>サン</t>
    </rPh>
    <rPh sb="2" eb="3">
      <t>ニチ</t>
    </rPh>
    <phoneticPr fontId="3"/>
  </si>
  <si>
    <t>成人の日</t>
    <rPh sb="0" eb="2">
      <t>セイジン</t>
    </rPh>
    <rPh sb="3" eb="4">
      <t>ヒ</t>
    </rPh>
    <phoneticPr fontId="3"/>
  </si>
  <si>
    <t>天皇誕生日</t>
    <rPh sb="0" eb="2">
      <t>テンノウ</t>
    </rPh>
    <rPh sb="2" eb="5">
      <t>タンジョウビ</t>
    </rPh>
    <phoneticPr fontId="3"/>
  </si>
  <si>
    <t>2.4</t>
    <phoneticPr fontId="3"/>
  </si>
  <si>
    <t>新 業務管理アプリへのエクセルファイルインポート実現の為、フォーマット変更</t>
    <rPh sb="0" eb="1">
      <t>シン</t>
    </rPh>
    <rPh sb="2" eb="4">
      <t>ギョウム</t>
    </rPh>
    <rPh sb="4" eb="6">
      <t>カンリ</t>
    </rPh>
    <rPh sb="24" eb="26">
      <t>ジツゲン</t>
    </rPh>
    <rPh sb="27" eb="28">
      <t>タメ</t>
    </rPh>
    <rPh sb="35" eb="37">
      <t>ヘンコウ</t>
    </rPh>
    <phoneticPr fontId="3"/>
  </si>
  <si>
    <t>北野</t>
    <rPh sb="0" eb="2">
      <t>キタノ</t>
    </rPh>
    <phoneticPr fontId="3"/>
  </si>
  <si>
    <t>総工数</t>
    <rPh sb="0" eb="1">
      <t>ソウ</t>
    </rPh>
    <rPh sb="1" eb="3">
      <t>コウスウ</t>
    </rPh>
    <phoneticPr fontId="3"/>
  </si>
  <si>
    <t>オーダー番号</t>
    <rPh sb="4" eb="6">
      <t>バンゴウ</t>
    </rPh>
    <phoneticPr fontId="3"/>
  </si>
  <si>
    <t>作業項目</t>
    <phoneticPr fontId="3"/>
  </si>
  <si>
    <t>交通費</t>
    <rPh sb="0" eb="3">
      <t>コウツウヒ</t>
    </rPh>
    <phoneticPr fontId="3"/>
  </si>
  <si>
    <t>出張費</t>
    <rPh sb="0" eb="3">
      <t>シュッチョウヒ</t>
    </rPh>
    <phoneticPr fontId="3"/>
  </si>
  <si>
    <t>仮払費</t>
    <rPh sb="0" eb="2">
      <t>カリバラ</t>
    </rPh>
    <rPh sb="2" eb="3">
      <t>ヒ</t>
    </rPh>
    <phoneticPr fontId="3"/>
  </si>
  <si>
    <t>仮払費除く</t>
    <rPh sb="0" eb="2">
      <t>カリバラ</t>
    </rPh>
    <rPh sb="2" eb="3">
      <t>ヒ</t>
    </rPh>
    <rPh sb="3" eb="4">
      <t>ノゾ</t>
    </rPh>
    <phoneticPr fontId="3"/>
  </si>
  <si>
    <t>(自動入力)</t>
    <rPh sb="1" eb="3">
      <t>ジドウ</t>
    </rPh>
    <rPh sb="3" eb="5">
      <t>ニュウリョク</t>
    </rPh>
    <phoneticPr fontId="3"/>
  </si>
  <si>
    <t>・祝日を令和4年度へ対応
・作業報告書シートの交通費、出張費、仮払い費にタイトル付与</t>
    <rPh sb="1" eb="3">
      <t>シュクジツ</t>
    </rPh>
    <rPh sb="4" eb="6">
      <t>レイワ</t>
    </rPh>
    <rPh sb="7" eb="9">
      <t>ネンド</t>
    </rPh>
    <rPh sb="10" eb="12">
      <t>タイオウ</t>
    </rPh>
    <rPh sb="14" eb="16">
      <t>サギョウ</t>
    </rPh>
    <rPh sb="16" eb="19">
      <t>ホウコクショ</t>
    </rPh>
    <rPh sb="23" eb="26">
      <t>コウツウヒ</t>
    </rPh>
    <rPh sb="27" eb="30">
      <t>シュッチョウヒ</t>
    </rPh>
    <rPh sb="31" eb="33">
      <t>カリバラ</t>
    </rPh>
    <rPh sb="34" eb="35">
      <t>ヒ</t>
    </rPh>
    <rPh sb="40" eb="42">
      <t>フヨ</t>
    </rPh>
    <phoneticPr fontId="3"/>
  </si>
  <si>
    <t>夜間作業時間</t>
    <rPh sb="0" eb="2">
      <t>ヤカン</t>
    </rPh>
    <rPh sb="2" eb="4">
      <t>サギョウ</t>
    </rPh>
    <rPh sb="4" eb="6">
      <t>ジカン</t>
    </rPh>
    <phoneticPr fontId="3"/>
  </si>
  <si>
    <t>休日出勤時間</t>
    <rPh sb="0" eb="2">
      <t>キュウジツ</t>
    </rPh>
    <rPh sb="2" eb="4">
      <t>シュッキン</t>
    </rPh>
    <rPh sb="4" eb="6">
      <t>ジカン</t>
    </rPh>
    <phoneticPr fontId="3"/>
  </si>
  <si>
    <t>勤務帯</t>
    <rPh sb="0" eb="2">
      <t>キンム</t>
    </rPh>
    <rPh sb="2" eb="3">
      <t>タイ</t>
    </rPh>
    <phoneticPr fontId="3"/>
  </si>
  <si>
    <t>勤務帯毎の夜間作業までの間隔</t>
    <rPh sb="0" eb="2">
      <t>キンム</t>
    </rPh>
    <rPh sb="2" eb="3">
      <t>タイ</t>
    </rPh>
    <rPh sb="3" eb="4">
      <t>ゴト</t>
    </rPh>
    <rPh sb="5" eb="7">
      <t>ヤカン</t>
    </rPh>
    <rPh sb="7" eb="9">
      <t>サギョウ</t>
    </rPh>
    <rPh sb="12" eb="14">
      <t>カンカク</t>
    </rPh>
    <phoneticPr fontId="3"/>
  </si>
  <si>
    <t>帯</t>
    <rPh sb="0" eb="1">
      <t>タイ</t>
    </rPh>
    <phoneticPr fontId="3"/>
  </si>
  <si>
    <t>工数</t>
    <rPh sb="0" eb="2">
      <t>コウスウ</t>
    </rPh>
    <phoneticPr fontId="3"/>
  </si>
  <si>
    <t>A</t>
    <phoneticPr fontId="3"/>
  </si>
  <si>
    <t>B</t>
    <phoneticPr fontId="3"/>
  </si>
  <si>
    <t>夜間作業間隔</t>
    <rPh sb="0" eb="2">
      <t>ヤカン</t>
    </rPh>
    <rPh sb="2" eb="4">
      <t>サギョウ</t>
    </rPh>
    <rPh sb="4" eb="6">
      <t>カンカク</t>
    </rPh>
    <phoneticPr fontId="3"/>
  </si>
  <si>
    <t>・夜間作業時間、休日出勤時間を自動算出するようマクロ作成</t>
    <rPh sb="1" eb="3">
      <t>ヤカン</t>
    </rPh>
    <rPh sb="3" eb="5">
      <t>サギョウ</t>
    </rPh>
    <rPh sb="5" eb="7">
      <t>ジカン</t>
    </rPh>
    <rPh sb="8" eb="10">
      <t>キュウジツ</t>
    </rPh>
    <rPh sb="10" eb="12">
      <t>シュッキン</t>
    </rPh>
    <rPh sb="12" eb="14">
      <t>ジカン</t>
    </rPh>
    <rPh sb="15" eb="17">
      <t>ジドウ</t>
    </rPh>
    <rPh sb="17" eb="19">
      <t>サンシュツ</t>
    </rPh>
    <rPh sb="26" eb="28">
      <t>サクセイ</t>
    </rPh>
    <phoneticPr fontId="3"/>
  </si>
  <si>
    <t>2.5</t>
    <phoneticPr fontId="3"/>
  </si>
  <si>
    <t>北野</t>
    <rPh sb="0" eb="2">
      <t>キタノ</t>
    </rPh>
    <phoneticPr fontId="3"/>
  </si>
  <si>
    <t>・祝日に令和4年度の春分の日の定義が無かったため追加
・翌月条件と休日条件の優先度入れ替え
（これまでは翌月先頭が祝日且つ当月が30日終わりの場合、翌日先頭が背景色：水色で表示されていた）</t>
    <rPh sb="1" eb="3">
      <t>シュクジツ</t>
    </rPh>
    <rPh sb="4" eb="6">
      <t>レイワ</t>
    </rPh>
    <rPh sb="7" eb="9">
      <t>ネンド</t>
    </rPh>
    <rPh sb="10" eb="12">
      <t>シュンブン</t>
    </rPh>
    <rPh sb="13" eb="14">
      <t>ヒ</t>
    </rPh>
    <rPh sb="15" eb="17">
      <t>テイギ</t>
    </rPh>
    <rPh sb="18" eb="19">
      <t>ナ</t>
    </rPh>
    <rPh sb="24" eb="26">
      <t>ツイカ</t>
    </rPh>
    <rPh sb="28" eb="30">
      <t>ヨクゲツ</t>
    </rPh>
    <rPh sb="30" eb="32">
      <t>ジョウケン</t>
    </rPh>
    <rPh sb="33" eb="35">
      <t>キュウジツ</t>
    </rPh>
    <rPh sb="35" eb="37">
      <t>ジョウケン</t>
    </rPh>
    <rPh sb="38" eb="41">
      <t>ユウセンド</t>
    </rPh>
    <rPh sb="41" eb="42">
      <t>イ</t>
    </rPh>
    <rPh sb="43" eb="44">
      <t>カ</t>
    </rPh>
    <rPh sb="52" eb="54">
      <t>ヨクゲツ</t>
    </rPh>
    <rPh sb="54" eb="56">
      <t>セントウ</t>
    </rPh>
    <rPh sb="57" eb="59">
      <t>シュクジツ</t>
    </rPh>
    <rPh sb="59" eb="60">
      <t>カ</t>
    </rPh>
    <rPh sb="61" eb="63">
      <t>トウゲツ</t>
    </rPh>
    <rPh sb="66" eb="67">
      <t>ニチ</t>
    </rPh>
    <rPh sb="67" eb="68">
      <t>オ</t>
    </rPh>
    <rPh sb="71" eb="73">
      <t>バアイ</t>
    </rPh>
    <rPh sb="74" eb="76">
      <t>ヨクジツ</t>
    </rPh>
    <rPh sb="76" eb="78">
      <t>セントウ</t>
    </rPh>
    <rPh sb="79" eb="81">
      <t>ハイケイ</t>
    </rPh>
    <rPh sb="81" eb="82">
      <t>イロ</t>
    </rPh>
    <rPh sb="83" eb="85">
      <t>ミズイロ</t>
    </rPh>
    <rPh sb="86" eb="88">
      <t>ヒョウジ</t>
    </rPh>
    <phoneticPr fontId="3"/>
  </si>
  <si>
    <t>2.6</t>
    <phoneticPr fontId="3"/>
  </si>
  <si>
    <t>北野</t>
    <rPh sb="0" eb="2">
      <t>キタノ</t>
    </rPh>
    <phoneticPr fontId="3"/>
  </si>
  <si>
    <t>・作業報告書のストッパーエリアの非表示化(A114～AJ117)
・勤務帯がシート保護環境では編集不可となっていたため編集可能へ変更
・進捗状況表示エリアを左にスライドを行った
・各日の夜間作業時間を手入力可能に変更</t>
    <rPh sb="1" eb="3">
      <t>サギョウ</t>
    </rPh>
    <rPh sb="3" eb="6">
      <t>ホウコクショ</t>
    </rPh>
    <rPh sb="16" eb="19">
      <t>ヒヒョウジ</t>
    </rPh>
    <rPh sb="19" eb="20">
      <t>カ</t>
    </rPh>
    <rPh sb="34" eb="36">
      <t>キンム</t>
    </rPh>
    <rPh sb="36" eb="37">
      <t>タイ</t>
    </rPh>
    <rPh sb="41" eb="43">
      <t>ホゴ</t>
    </rPh>
    <rPh sb="43" eb="45">
      <t>カンキョウ</t>
    </rPh>
    <rPh sb="47" eb="49">
      <t>ヘンシュウ</t>
    </rPh>
    <rPh sb="49" eb="51">
      <t>フカ</t>
    </rPh>
    <rPh sb="59" eb="61">
      <t>ヘンシュウ</t>
    </rPh>
    <rPh sb="61" eb="63">
      <t>カノウ</t>
    </rPh>
    <rPh sb="64" eb="66">
      <t>ヘンコウ</t>
    </rPh>
    <rPh sb="68" eb="70">
      <t>シンチョク</t>
    </rPh>
    <rPh sb="70" eb="72">
      <t>ジョウキョウ</t>
    </rPh>
    <rPh sb="72" eb="74">
      <t>ヒョウジ</t>
    </rPh>
    <rPh sb="78" eb="79">
      <t>ヒダリ</t>
    </rPh>
    <rPh sb="85" eb="86">
      <t>オコナ</t>
    </rPh>
    <rPh sb="90" eb="92">
      <t>カクジツ</t>
    </rPh>
    <rPh sb="93" eb="95">
      <t>ヤカン</t>
    </rPh>
    <rPh sb="95" eb="97">
      <t>サギョウ</t>
    </rPh>
    <rPh sb="97" eb="99">
      <t>ジカン</t>
    </rPh>
    <rPh sb="100" eb="101">
      <t>テ</t>
    </rPh>
    <rPh sb="101" eb="103">
      <t>ニュウリョク</t>
    </rPh>
    <rPh sb="103" eb="105">
      <t>カノウ</t>
    </rPh>
    <rPh sb="106" eb="108">
      <t>ヘンコウ</t>
    </rPh>
    <phoneticPr fontId="3"/>
  </si>
  <si>
    <t>2.7</t>
    <phoneticPr fontId="3"/>
  </si>
  <si>
    <t>・交通費/出張費/仮払費のエリアの入力規則を作成及び入力マスクの解除</t>
    <rPh sb="1" eb="4">
      <t>コウツウヒ</t>
    </rPh>
    <rPh sb="5" eb="8">
      <t>シュッチョウヒ</t>
    </rPh>
    <rPh sb="9" eb="11">
      <t>カリバライ</t>
    </rPh>
    <rPh sb="11" eb="12">
      <t>ヒ</t>
    </rPh>
    <rPh sb="17" eb="19">
      <t>ニュウリョク</t>
    </rPh>
    <rPh sb="19" eb="21">
      <t>キソク</t>
    </rPh>
    <rPh sb="22" eb="24">
      <t>サクセイ</t>
    </rPh>
    <rPh sb="24" eb="25">
      <t>オヨ</t>
    </rPh>
    <rPh sb="26" eb="28">
      <t>ニュウリョク</t>
    </rPh>
    <rPh sb="32" eb="34">
      <t>カイジョ</t>
    </rPh>
    <phoneticPr fontId="3"/>
  </si>
  <si>
    <t>北野</t>
    <rPh sb="0" eb="2">
      <t>キタノ</t>
    </rPh>
    <phoneticPr fontId="3"/>
  </si>
  <si>
    <t>Format Version 2.7</t>
    <phoneticPr fontId="3"/>
  </si>
  <si>
    <t>Auto Coronary Analysis評価向け開発Phase6</t>
    <phoneticPr fontId="3"/>
  </si>
  <si>
    <t>Cardiac Suiteアプリケーション開発Phase4</t>
    <phoneticPr fontId="3"/>
  </si>
  <si>
    <t>肺葉領域LFA計測機能付き肺解析および弁輪計測機能付き心臓アプリ開発</t>
    <phoneticPr fontId="3"/>
  </si>
  <si>
    <t>複数点位置合わせ機能付きサーモCT解析および胆管領域表示機能付き低呼吸領域表示アプリ開発</t>
    <phoneticPr fontId="3"/>
  </si>
  <si>
    <t>外出交通費精算明細書</t>
    <rPh sb="0" eb="1">
      <t>ソト</t>
    </rPh>
    <rPh sb="1" eb="2">
      <t>デ</t>
    </rPh>
    <rPh sb="2" eb="3">
      <t>コウ</t>
    </rPh>
    <rPh sb="3" eb="4">
      <t>ツウ</t>
    </rPh>
    <rPh sb="4" eb="5">
      <t>ヒ</t>
    </rPh>
    <rPh sb="5" eb="6">
      <t>セイ</t>
    </rPh>
    <rPh sb="6" eb="7">
      <t>サン</t>
    </rPh>
    <rPh sb="7" eb="8">
      <t>アキラ</t>
    </rPh>
    <rPh sb="8" eb="9">
      <t>ホソ</t>
    </rPh>
    <rPh sb="9" eb="10">
      <t>ショ</t>
    </rPh>
    <phoneticPr fontId="27"/>
  </si>
  <si>
    <t>出納係</t>
    <rPh sb="0" eb="3">
      <t>スイトウガカリ</t>
    </rPh>
    <phoneticPr fontId="27"/>
  </si>
  <si>
    <t>所属部</t>
    <phoneticPr fontId="27"/>
  </si>
  <si>
    <t>所属課</t>
    <rPh sb="0" eb="2">
      <t>ショゾク</t>
    </rPh>
    <rPh sb="2" eb="3">
      <t>カ</t>
    </rPh>
    <phoneticPr fontId="27"/>
  </si>
  <si>
    <t>所属係</t>
    <rPh sb="0" eb="2">
      <t>ショゾク</t>
    </rPh>
    <rPh sb="2" eb="3">
      <t>ガカリ</t>
    </rPh>
    <phoneticPr fontId="27"/>
  </si>
  <si>
    <t xml:space="preserve"> 令和</t>
    <rPh sb="1" eb="3">
      <t>レイワ</t>
    </rPh>
    <phoneticPr fontId="27"/>
  </si>
  <si>
    <t>年</t>
    <rPh sb="0" eb="1">
      <t>ネン</t>
    </rPh>
    <phoneticPr fontId="27"/>
  </si>
  <si>
    <t>月</t>
    <rPh sb="0" eb="1">
      <t>ガツ</t>
    </rPh>
    <phoneticPr fontId="27"/>
  </si>
  <si>
    <t>日</t>
    <rPh sb="0" eb="1">
      <t>ニチ</t>
    </rPh>
    <phoneticPr fontId="27"/>
  </si>
  <si>
    <t>～</t>
    <phoneticPr fontId="27"/>
  </si>
  <si>
    <t>月</t>
    <rPh sb="0" eb="1">
      <t>ツキ</t>
    </rPh>
    <phoneticPr fontId="27"/>
  </si>
  <si>
    <t>現場責任者</t>
    <rPh sb="0" eb="2">
      <t>ゲンバ</t>
    </rPh>
    <rPh sb="2" eb="5">
      <t>セキニンシャ</t>
    </rPh>
    <phoneticPr fontId="27"/>
  </si>
  <si>
    <t>北川 徹</t>
    <rPh sb="0" eb="2">
      <t>キタガワ</t>
    </rPh>
    <rPh sb="3" eb="4">
      <t>テツ</t>
    </rPh>
    <phoneticPr fontId="3"/>
  </si>
  <si>
    <t>印</t>
    <rPh sb="0" eb="1">
      <t>イン</t>
    </rPh>
    <phoneticPr fontId="27"/>
  </si>
  <si>
    <t>　※入力不要セルは[校閲]→[シートの保護]で保護されています。</t>
    <rPh sb="2" eb="4">
      <t>ニュウリョク</t>
    </rPh>
    <rPh sb="4" eb="6">
      <t>フヨウ</t>
    </rPh>
    <rPh sb="10" eb="12">
      <t>コウエツ</t>
    </rPh>
    <rPh sb="19" eb="21">
      <t>ホゴ</t>
    </rPh>
    <rPh sb="23" eb="25">
      <t>ホゴ</t>
    </rPh>
    <phoneticPr fontId="27"/>
  </si>
  <si>
    <t>記  入  者</t>
    <rPh sb="0" eb="1">
      <t>キ</t>
    </rPh>
    <rPh sb="3" eb="4">
      <t>イ</t>
    </rPh>
    <rPh sb="6" eb="7">
      <t>シャ</t>
    </rPh>
    <phoneticPr fontId="27"/>
  </si>
  <si>
    <t>合計金額</t>
    <rPh sb="0" eb="2">
      <t>ゴウケイ</t>
    </rPh>
    <rPh sb="2" eb="4">
      <t>キンガク</t>
    </rPh>
    <phoneticPr fontId="27"/>
  </si>
  <si>
    <t>　　パスワードは設定していません。</t>
    <rPh sb="8" eb="10">
      <t>セッテイ</t>
    </rPh>
    <phoneticPr fontId="27"/>
  </si>
  <si>
    <t>月／日</t>
    <rPh sb="0" eb="1">
      <t>ツキ</t>
    </rPh>
    <rPh sb="2" eb="3">
      <t>ヒ</t>
    </rPh>
    <phoneticPr fontId="27"/>
  </si>
  <si>
    <t>使用目的</t>
    <phoneticPr fontId="27"/>
  </si>
  <si>
    <t>使用交通費区間明細</t>
    <rPh sb="0" eb="2">
      <t>シヨウ</t>
    </rPh>
    <rPh sb="2" eb="5">
      <t>コウツウヒ</t>
    </rPh>
    <rPh sb="5" eb="7">
      <t>クカン</t>
    </rPh>
    <rPh sb="7" eb="9">
      <t>メイサイ</t>
    </rPh>
    <phoneticPr fontId="27"/>
  </si>
  <si>
    <t>路線別</t>
    <rPh sb="0" eb="2">
      <t>ロセン</t>
    </rPh>
    <rPh sb="2" eb="3">
      <t>ベツ</t>
    </rPh>
    <phoneticPr fontId="27"/>
  </si>
  <si>
    <t>片道</t>
    <rPh sb="0" eb="2">
      <t>カタミチ</t>
    </rPh>
    <phoneticPr fontId="27"/>
  </si>
  <si>
    <t>片/往
金額</t>
    <rPh sb="0" eb="1">
      <t>カタ</t>
    </rPh>
    <rPh sb="2" eb="3">
      <t>オウ</t>
    </rPh>
    <rPh sb="4" eb="6">
      <t>キンガク</t>
    </rPh>
    <phoneticPr fontId="27"/>
  </si>
  <si>
    <t>合計金額</t>
    <rPh sb="0" eb="2">
      <t>ゴウケイ</t>
    </rPh>
    <rPh sb="2" eb="3">
      <t>キン</t>
    </rPh>
    <rPh sb="3" eb="4">
      <t>ガク</t>
    </rPh>
    <phoneticPr fontId="27"/>
  </si>
  <si>
    <t>日　当</t>
    <rPh sb="0" eb="1">
      <t>ニチ</t>
    </rPh>
    <rPh sb="2" eb="3">
      <t>トウ</t>
    </rPh>
    <phoneticPr fontId="27"/>
  </si>
  <si>
    <t>路線</t>
    <rPh sb="0" eb="2">
      <t>ロセン</t>
    </rPh>
    <phoneticPr fontId="27"/>
  </si>
  <si>
    <t>乗車区間</t>
    <rPh sb="0" eb="2">
      <t>ジョウシャ</t>
    </rPh>
    <rPh sb="2" eb="4">
      <t>クカン</t>
    </rPh>
    <phoneticPr fontId="27"/>
  </si>
  <si>
    <t>金額</t>
    <rPh sb="0" eb="2">
      <t>キンガク</t>
    </rPh>
    <phoneticPr fontId="27"/>
  </si>
  <si>
    <t xml:space="preserve">   往復</t>
    <rPh sb="3" eb="5">
      <t>オウフク</t>
    </rPh>
    <phoneticPr fontId="27"/>
  </si>
  <si>
    <t>w/o</t>
    <phoneticPr fontId="27"/>
  </si>
  <si>
    <t>合　　　　　　　　　計</t>
    <rPh sb="0" eb="1">
      <t>ゴウ</t>
    </rPh>
    <rPh sb="10" eb="11">
      <t>ケイ</t>
    </rPh>
    <phoneticPr fontId="27"/>
  </si>
  <si>
    <r>
      <t>株式会社　</t>
    </r>
    <r>
      <rPr>
        <b/>
        <sz val="14"/>
        <color theme="1"/>
        <rFont val="BIZ UDゴシック"/>
        <family val="3"/>
        <charset val="128"/>
      </rPr>
      <t>日　放　電　子</t>
    </r>
    <rPh sb="0" eb="4">
      <t>カブシキガイシャ</t>
    </rPh>
    <rPh sb="5" eb="6">
      <t>ニチ</t>
    </rPh>
    <rPh sb="7" eb="8">
      <t>ホウ</t>
    </rPh>
    <rPh sb="9" eb="10">
      <t>デン</t>
    </rPh>
    <rPh sb="11" eb="12">
      <t>コ</t>
    </rPh>
    <phoneticPr fontId="27"/>
  </si>
  <si>
    <t>作業列</t>
    <rPh sb="0" eb="3">
      <t>サギョウレツ</t>
    </rPh>
    <phoneticPr fontId="3"/>
  </si>
  <si>
    <t>ｵｰﾀﾞｰNo</t>
    <phoneticPr fontId="3"/>
  </si>
  <si>
    <t>金額</t>
    <rPh sb="0" eb="2">
      <t>キンガク</t>
    </rPh>
    <phoneticPr fontId="3"/>
  </si>
  <si>
    <t>出現ｵｰﾀﾞｰNo</t>
    <rPh sb="0" eb="2">
      <t>シュツゲン</t>
    </rPh>
    <phoneticPr fontId="3"/>
  </si>
  <si>
    <t>合計金額</t>
    <rPh sb="0" eb="2">
      <t>ゴウケイ</t>
    </rPh>
    <rPh sb="2" eb="4">
      <t>キンガク</t>
    </rPh>
    <phoneticPr fontId="3"/>
  </si>
  <si>
    <t>A</t>
  </si>
  <si>
    <t>日隈 友也</t>
    <rPh sb="0" eb="2">
      <t>ヒグマ</t>
    </rPh>
    <rPh sb="3" eb="5">
      <t>ユウヤ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</si>
</sst>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¥&quot;#,##0;&quot;¥&quot;\-#,##0"/>
    <numFmt numFmtId="6" formatCode="&quot;¥&quot;#,##0;[Red]&quot;¥&quot;\-#,##0"/>
    <numFmt numFmtId="176" formatCode="d"/>
    <numFmt numFmtId="177" formatCode="0.0_ "/>
    <numFmt numFmtId="178" formatCode="&quot;平成&quot;yyyy&quot;年&quot;m&quot;月&quot;d&quot;日分&quot;"/>
    <numFmt numFmtId="179" formatCode="0.0_ ;[Red]\-0.0\ "/>
    <numFmt numFmtId="180" formatCode="m/d;@"/>
    <numFmt numFmtId="181" formatCode="yyyy/mm/dd"/>
    <numFmt numFmtId="182" formatCode="yyyy&quot;/&quot;mm&quot;/&quot;dd\ &quot;更新&quot;"/>
    <numFmt numFmtId="183" formatCode="yyyy\ &quot;/&quot;\ mm\ &quot;/&quot;\ dd\ &quot;(&quot;\ aaa\ &quot;)&quot;"/>
    <numFmt numFmtId="184" formatCode="m"/>
  </numFmts>
  <fonts count="40" x14ac:knownFonts="1">
    <font>
      <sz val="10.5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0.5"/>
      <name val="ＭＳ ゴシック"/>
      <family val="3"/>
      <charset val="128"/>
    </font>
    <font>
      <sz val="6"/>
      <name val="ＭＳ ゴシック"/>
      <family val="3"/>
      <charset val="128"/>
    </font>
    <font>
      <sz val="10.5"/>
      <name val="ＭＳ ゴシック"/>
      <family val="3"/>
      <charset val="128"/>
    </font>
    <font>
      <sz val="9"/>
      <name val="ＭＳ ゴシック"/>
      <family val="3"/>
      <charset val="128"/>
    </font>
    <font>
      <sz val="12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0.5"/>
      <name val="ＭＳ ゴシック"/>
      <family val="3"/>
      <charset val="128"/>
    </font>
    <font>
      <b/>
      <sz val="16"/>
      <name val="ＭＳ ゴシック"/>
      <family val="3"/>
      <charset val="128"/>
    </font>
    <font>
      <sz val="10"/>
      <name val="ＭＳ ゴシック"/>
      <family val="3"/>
      <charset val="128"/>
    </font>
    <font>
      <sz val="10.5"/>
      <color theme="0"/>
      <name val="ＭＳ ゴシック"/>
      <family val="3"/>
      <charset val="128"/>
    </font>
    <font>
      <sz val="10.5"/>
      <color theme="0" tint="-0.249977111117893"/>
      <name val="ＭＳ ゴシック"/>
      <family val="3"/>
      <charset val="128"/>
    </font>
    <font>
      <i/>
      <sz val="10.5"/>
      <color theme="0" tint="-0.499984740745262"/>
      <name val="ＭＳ ゴシック"/>
      <family val="3"/>
      <charset val="128"/>
    </font>
    <font>
      <u/>
      <sz val="10.5"/>
      <color rgb="FFFF000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11"/>
      <name val="游ゴシック"/>
      <family val="3"/>
      <charset val="128"/>
    </font>
    <font>
      <sz val="11"/>
      <name val="游ゴシック"/>
      <family val="3"/>
      <charset val="128"/>
    </font>
    <font>
      <sz val="11"/>
      <color theme="0"/>
      <name val="游ゴシック"/>
      <family val="3"/>
      <charset val="128"/>
    </font>
    <font>
      <b/>
      <sz val="16"/>
      <name val="游ゴシック"/>
      <family val="3"/>
      <charset val="128"/>
    </font>
    <font>
      <sz val="11"/>
      <color indexed="9"/>
      <name val="游ゴシック"/>
      <family val="3"/>
      <charset val="128"/>
    </font>
    <font>
      <sz val="16"/>
      <name val="游ゴシック"/>
      <family val="3"/>
      <charset val="128"/>
    </font>
    <font>
      <sz val="12"/>
      <name val="游ゴシック"/>
      <family val="3"/>
      <charset val="128"/>
    </font>
    <font>
      <b/>
      <sz val="12"/>
      <color rgb="FFFF0000"/>
      <name val="游ゴシック"/>
      <family val="3"/>
      <charset val="128"/>
    </font>
    <font>
      <b/>
      <sz val="12"/>
      <name val="游ゴシック"/>
      <family val="3"/>
      <charset val="128"/>
    </font>
    <font>
      <b/>
      <u val="double"/>
      <sz val="18"/>
      <color theme="1"/>
      <name val="BIZ UD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8"/>
      <color theme="1"/>
      <name val="BIZ UDゴシック"/>
      <family val="3"/>
      <charset val="128"/>
    </font>
    <font>
      <sz val="11"/>
      <color theme="1"/>
      <name val="BIZ UDゴシック"/>
      <family val="3"/>
      <charset val="128"/>
    </font>
    <font>
      <sz val="11"/>
      <color theme="1"/>
      <name val="ＭＳ Ｐゴシック"/>
      <family val="3"/>
      <charset val="128"/>
    </font>
    <font>
      <sz val="14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sz val="16"/>
      <color theme="1"/>
      <name val="游ゴシック"/>
      <family val="3"/>
      <charset val="128"/>
    </font>
    <font>
      <sz val="9.5"/>
      <color theme="1"/>
      <name val="BIZ UDゴシック"/>
      <family val="3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3"/>
      <charset val="128"/>
    </font>
    <font>
      <sz val="10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b/>
      <sz val="14"/>
      <color theme="1"/>
      <name val="BIZ UD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1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/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06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2" xfId="0" applyFont="1" applyBorder="1"/>
    <xf numFmtId="178" fontId="6" fillId="0" borderId="2" xfId="0" applyNumberFormat="1" applyFont="1" applyBorder="1" applyAlignment="1">
      <alignment vertical="top"/>
    </xf>
    <xf numFmtId="0" fontId="0" fillId="0" borderId="0" xfId="0" applyAlignment="1">
      <alignment vertical="center" wrapText="1"/>
    </xf>
    <xf numFmtId="0" fontId="12" fillId="0" borderId="0" xfId="0" applyFont="1"/>
    <xf numFmtId="178" fontId="0" fillId="0" borderId="0" xfId="0" applyNumberFormat="1" applyAlignment="1">
      <alignment vertical="top"/>
    </xf>
    <xf numFmtId="178" fontId="0" fillId="0" borderId="2" xfId="0" applyNumberFormat="1" applyBorder="1" applyAlignment="1">
      <alignment vertical="top"/>
    </xf>
    <xf numFmtId="0" fontId="0" fillId="0" borderId="2" xfId="0" applyBorder="1" applyAlignment="1">
      <alignment vertical="center"/>
    </xf>
    <xf numFmtId="176" fontId="2" fillId="0" borderId="3" xfId="0" applyNumberFormat="1" applyFont="1" applyBorder="1" applyAlignment="1">
      <alignment horizontal="center"/>
    </xf>
    <xf numFmtId="0" fontId="8" fillId="0" borderId="0" xfId="0" applyFont="1" applyAlignment="1">
      <alignment vertical="top"/>
    </xf>
    <xf numFmtId="0" fontId="8" fillId="0" borderId="2" xfId="0" applyFont="1" applyBorder="1" applyAlignment="1">
      <alignment vertical="top"/>
    </xf>
    <xf numFmtId="0" fontId="10" fillId="0" borderId="0" xfId="0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left" vertical="center"/>
    </xf>
    <xf numFmtId="0" fontId="7" fillId="2" borderId="8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/>
    </xf>
    <xf numFmtId="0" fontId="4" fillId="0" borderId="0" xfId="0" applyFont="1" applyBorder="1"/>
    <xf numFmtId="14" fontId="0" fillId="0" borderId="0" xfId="0" applyNumberFormat="1" applyFill="1"/>
    <xf numFmtId="14" fontId="12" fillId="0" borderId="0" xfId="0" applyNumberFormat="1" applyFont="1" applyFill="1"/>
    <xf numFmtId="0" fontId="0" fillId="0" borderId="0" xfId="0" applyBorder="1" applyAlignment="1">
      <alignment horizontal="center"/>
    </xf>
    <xf numFmtId="14" fontId="4" fillId="0" borderId="0" xfId="0" applyNumberFormat="1" applyFont="1" applyBorder="1"/>
    <xf numFmtId="176" fontId="2" fillId="0" borderId="10" xfId="0" applyNumberFormat="1" applyFont="1" applyBorder="1" applyAlignment="1">
      <alignment horizontal="center"/>
    </xf>
    <xf numFmtId="0" fontId="9" fillId="0" borderId="11" xfId="0" applyFont="1" applyBorder="1" applyAlignment="1">
      <alignment wrapText="1"/>
    </xf>
    <xf numFmtId="0" fontId="0" fillId="5" borderId="12" xfId="0" applyFill="1" applyBorder="1" applyAlignment="1">
      <alignment horizontal="center"/>
    </xf>
    <xf numFmtId="178" fontId="0" fillId="0" borderId="5" xfId="0" applyNumberFormat="1" applyBorder="1" applyAlignment="1">
      <alignment horizontal="left" vertical="center"/>
    </xf>
    <xf numFmtId="0" fontId="9" fillId="0" borderId="13" xfId="0" applyFont="1" applyBorder="1" applyAlignment="1">
      <alignment wrapText="1"/>
    </xf>
    <xf numFmtId="0" fontId="9" fillId="0" borderId="12" xfId="0" applyFont="1" applyBorder="1" applyAlignment="1">
      <alignment wrapText="1"/>
    </xf>
    <xf numFmtId="0" fontId="0" fillId="0" borderId="17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5" borderId="5" xfId="0" applyFon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0" xfId="0" applyFont="1" applyFill="1" applyAlignment="1">
      <alignment horizontal="left" vertical="center"/>
    </xf>
    <xf numFmtId="177" fontId="0" fillId="0" borderId="0" xfId="0" applyNumberFormat="1" applyFont="1" applyFill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0" fillId="0" borderId="0" xfId="0" applyFont="1"/>
    <xf numFmtId="49" fontId="0" fillId="0" borderId="13" xfId="0" applyNumberFormat="1" applyBorder="1" applyAlignment="1">
      <alignment horizontal="left" vertical="top"/>
    </xf>
    <xf numFmtId="49" fontId="4" fillId="0" borderId="25" xfId="0" applyNumberFormat="1" applyFont="1" applyBorder="1" applyAlignment="1">
      <alignment horizontal="left" vertical="top"/>
    </xf>
    <xf numFmtId="49" fontId="4" fillId="0" borderId="26" xfId="0" applyNumberFormat="1" applyFont="1" applyBorder="1" applyAlignment="1">
      <alignment horizontal="left" vertical="top"/>
    </xf>
    <xf numFmtId="49" fontId="0" fillId="0" borderId="25" xfId="0" applyNumberFormat="1" applyFont="1" applyBorder="1" applyAlignment="1">
      <alignment horizontal="left" vertical="top"/>
    </xf>
    <xf numFmtId="49" fontId="0" fillId="0" borderId="25" xfId="0" quotePrefix="1" applyNumberFormat="1" applyFont="1" applyBorder="1" applyAlignment="1">
      <alignment horizontal="left" vertical="top"/>
    </xf>
    <xf numFmtId="49" fontId="0" fillId="0" borderId="25" xfId="0" applyNumberFormat="1" applyBorder="1" applyAlignment="1">
      <alignment horizontal="left" vertical="top"/>
    </xf>
    <xf numFmtId="49" fontId="0" fillId="0" borderId="33" xfId="0" applyNumberFormat="1" applyFont="1" applyBorder="1" applyAlignment="1">
      <alignment horizontal="left" vertical="top"/>
    </xf>
    <xf numFmtId="177" fontId="11" fillId="0" borderId="52" xfId="0" applyNumberFormat="1" applyFont="1" applyBorder="1" applyAlignment="1">
      <alignment horizontal="center" vertical="center"/>
    </xf>
    <xf numFmtId="177" fontId="11" fillId="0" borderId="53" xfId="0" applyNumberFormat="1" applyFont="1" applyBorder="1" applyAlignment="1">
      <alignment horizontal="center" vertical="center"/>
    </xf>
    <xf numFmtId="177" fontId="11" fillId="0" borderId="53" xfId="0" applyNumberFormat="1" applyFont="1" applyBorder="1" applyAlignment="1" applyProtection="1">
      <alignment horizontal="center" vertical="center"/>
    </xf>
    <xf numFmtId="180" fontId="5" fillId="0" borderId="22" xfId="0" applyNumberFormat="1" applyFont="1" applyBorder="1" applyAlignment="1">
      <alignment horizontal="center" vertical="center"/>
    </xf>
    <xf numFmtId="180" fontId="5" fillId="0" borderId="23" xfId="0" applyNumberFormat="1" applyFont="1" applyBorder="1" applyAlignment="1">
      <alignment horizontal="center" vertical="center"/>
    </xf>
    <xf numFmtId="180" fontId="5" fillId="0" borderId="24" xfId="0" applyNumberFormat="1" applyFont="1" applyBorder="1" applyAlignment="1" applyProtection="1">
      <alignment horizontal="center" vertical="center"/>
    </xf>
    <xf numFmtId="180" fontId="5" fillId="0" borderId="23" xfId="0" applyNumberFormat="1" applyFont="1" applyBorder="1" applyAlignment="1" applyProtection="1">
      <alignment horizontal="center" vertical="center"/>
    </xf>
    <xf numFmtId="180" fontId="5" fillId="0" borderId="54" xfId="0" applyNumberFormat="1" applyFont="1" applyBorder="1" applyAlignment="1">
      <alignment horizontal="center" vertical="center"/>
    </xf>
    <xf numFmtId="0" fontId="9" fillId="5" borderId="17" xfId="0" applyFont="1" applyFill="1" applyBorder="1" applyAlignment="1">
      <alignment vertical="center"/>
    </xf>
    <xf numFmtId="0" fontId="0" fillId="5" borderId="9" xfId="0" applyFont="1" applyFill="1" applyBorder="1" applyAlignment="1">
      <alignment vertical="center"/>
    </xf>
    <xf numFmtId="0" fontId="4" fillId="5" borderId="0" xfId="0" applyFont="1" applyFill="1"/>
    <xf numFmtId="0" fontId="0" fillId="5" borderId="21" xfId="0" applyFont="1" applyFill="1" applyBorder="1" applyAlignment="1">
      <alignment vertical="center"/>
    </xf>
    <xf numFmtId="0" fontId="0" fillId="5" borderId="19" xfId="0" applyFont="1" applyFill="1" applyBorder="1" applyAlignment="1">
      <alignment vertical="center"/>
    </xf>
    <xf numFmtId="0" fontId="0" fillId="5" borderId="0" xfId="0" applyFont="1" applyFill="1" applyBorder="1" applyAlignment="1">
      <alignment vertical="center"/>
    </xf>
    <xf numFmtId="0" fontId="0" fillId="5" borderId="20" xfId="0" applyFont="1" applyFill="1" applyBorder="1" applyAlignment="1">
      <alignment vertical="center"/>
    </xf>
    <xf numFmtId="0" fontId="0" fillId="5" borderId="0" xfId="0" applyFont="1" applyFill="1" applyBorder="1" applyAlignment="1">
      <alignment horizontal="left" vertical="center"/>
    </xf>
    <xf numFmtId="0" fontId="0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5" fillId="5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vertical="top"/>
    </xf>
    <xf numFmtId="0" fontId="7" fillId="0" borderId="0" xfId="0" applyFont="1" applyFill="1" applyBorder="1" applyAlignment="1">
      <alignment vertical="top"/>
    </xf>
    <xf numFmtId="0" fontId="7" fillId="0" borderId="26" xfId="0" applyFont="1" applyFill="1" applyBorder="1" applyAlignment="1">
      <alignment vertical="top"/>
    </xf>
    <xf numFmtId="14" fontId="12" fillId="4" borderId="9" xfId="0" applyNumberFormat="1" applyFont="1" applyFill="1" applyBorder="1" applyAlignment="1">
      <alignment horizontal="center" vertical="center"/>
    </xf>
    <xf numFmtId="179" fontId="5" fillId="0" borderId="15" xfId="0" applyNumberFormat="1" applyFont="1" applyBorder="1" applyAlignment="1">
      <alignment horizontal="right" vertical="center"/>
    </xf>
    <xf numFmtId="179" fontId="12" fillId="4" borderId="0" xfId="0" applyNumberFormat="1" applyFont="1" applyFill="1" applyAlignment="1">
      <alignment horizontal="right" vertical="center"/>
    </xf>
    <xf numFmtId="0" fontId="12" fillId="4" borderId="57" xfId="0" applyFont="1" applyFill="1" applyBorder="1" applyAlignment="1">
      <alignment vertical="center"/>
    </xf>
    <xf numFmtId="0" fontId="12" fillId="4" borderId="58" xfId="0" applyFont="1" applyFill="1" applyBorder="1" applyAlignment="1">
      <alignment vertical="center"/>
    </xf>
    <xf numFmtId="0" fontId="12" fillId="4" borderId="59" xfId="0" applyFont="1" applyFill="1" applyBorder="1" applyAlignment="1">
      <alignment vertical="center"/>
    </xf>
    <xf numFmtId="0" fontId="0" fillId="4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45" xfId="0" applyFont="1" applyFill="1" applyBorder="1" applyAlignment="1">
      <alignment vertical="center"/>
    </xf>
    <xf numFmtId="0" fontId="4" fillId="4" borderId="62" xfId="0" applyFont="1" applyFill="1" applyBorder="1" applyAlignment="1">
      <alignment vertical="center"/>
    </xf>
    <xf numFmtId="0" fontId="4" fillId="4" borderId="63" xfId="0" applyFont="1" applyFill="1" applyBorder="1" applyAlignment="1">
      <alignment vertical="center"/>
    </xf>
    <xf numFmtId="0" fontId="4" fillId="4" borderId="58" xfId="0" applyFont="1" applyFill="1" applyBorder="1" applyAlignment="1">
      <alignment vertical="center"/>
    </xf>
    <xf numFmtId="0" fontId="4" fillId="4" borderId="59" xfId="0" applyFont="1" applyFill="1" applyBorder="1" applyAlignment="1">
      <alignment vertical="center"/>
    </xf>
    <xf numFmtId="0" fontId="12" fillId="4" borderId="60" xfId="0" applyFont="1" applyFill="1" applyBorder="1" applyAlignment="1">
      <alignment vertical="center"/>
    </xf>
    <xf numFmtId="0" fontId="12" fillId="4" borderId="61" xfId="0" applyFont="1" applyFill="1" applyBorder="1" applyAlignment="1">
      <alignment vertical="center"/>
    </xf>
    <xf numFmtId="0" fontId="12" fillId="4" borderId="36" xfId="0" applyFont="1" applyFill="1" applyBorder="1" applyAlignment="1">
      <alignment horizontal="left" vertical="center"/>
    </xf>
    <xf numFmtId="0" fontId="12" fillId="4" borderId="64" xfId="0" applyFont="1" applyFill="1" applyBorder="1" applyAlignment="1">
      <alignment horizontal="left" vertical="center"/>
    </xf>
    <xf numFmtId="0" fontId="12" fillId="4" borderId="56" xfId="0" applyFont="1" applyFill="1" applyBorder="1" applyAlignment="1">
      <alignment horizontal="center" vertical="center"/>
    </xf>
    <xf numFmtId="177" fontId="16" fillId="4" borderId="36" xfId="0" applyNumberFormat="1" applyFont="1" applyFill="1" applyBorder="1" applyAlignment="1">
      <alignment horizontal="right" vertical="center"/>
    </xf>
    <xf numFmtId="177" fontId="16" fillId="4" borderId="64" xfId="0" applyNumberFormat="1" applyFont="1" applyFill="1" applyBorder="1" applyAlignment="1">
      <alignment horizontal="right" vertical="center"/>
    </xf>
    <xf numFmtId="0" fontId="18" fillId="3" borderId="0" xfId="0" applyFont="1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49" fontId="18" fillId="3" borderId="1" xfId="0" quotePrefix="1" applyNumberFormat="1" applyFont="1" applyFill="1" applyBorder="1" applyAlignment="1">
      <alignment horizontal="center" vertical="center"/>
    </xf>
    <xf numFmtId="181" fontId="18" fillId="3" borderId="1" xfId="0" applyNumberFormat="1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vertical="top" wrapText="1"/>
    </xf>
    <xf numFmtId="49" fontId="18" fillId="3" borderId="1" xfId="0" applyNumberFormat="1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vertical="top"/>
    </xf>
    <xf numFmtId="49" fontId="18" fillId="3" borderId="7" xfId="0" applyNumberFormat="1" applyFont="1" applyFill="1" applyBorder="1" applyAlignment="1">
      <alignment horizontal="center" vertical="center"/>
    </xf>
    <xf numFmtId="49" fontId="18" fillId="3" borderId="55" xfId="0" applyNumberFormat="1" applyFont="1" applyFill="1" applyBorder="1" applyAlignment="1">
      <alignment horizontal="center" vertical="center"/>
    </xf>
    <xf numFmtId="181" fontId="18" fillId="3" borderId="7" xfId="0" applyNumberFormat="1" applyFont="1" applyFill="1" applyBorder="1" applyAlignment="1">
      <alignment horizontal="center" vertical="center"/>
    </xf>
    <xf numFmtId="0" fontId="20" fillId="3" borderId="0" xfId="0" applyFont="1" applyFill="1" applyAlignment="1">
      <alignment horizontal="left" vertical="center"/>
    </xf>
    <xf numFmtId="0" fontId="18" fillId="0" borderId="0" xfId="0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14" fontId="18" fillId="0" borderId="0" xfId="0" applyNumberFormat="1" applyFont="1" applyAlignment="1">
      <alignment vertical="center"/>
    </xf>
    <xf numFmtId="0" fontId="18" fillId="0" borderId="0" xfId="0" applyFont="1" applyAlignment="1">
      <alignment vertical="center" wrapText="1"/>
    </xf>
    <xf numFmtId="0" fontId="21" fillId="0" borderId="0" xfId="0" applyFont="1" applyAlignment="1"/>
    <xf numFmtId="0" fontId="18" fillId="0" borderId="0" xfId="0" applyFont="1" applyAlignment="1"/>
    <xf numFmtId="0" fontId="19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2" borderId="66" xfId="0" applyFont="1" applyFill="1" applyBorder="1" applyAlignment="1" applyProtection="1">
      <alignment horizontal="center" vertical="center"/>
      <protection locked="0"/>
    </xf>
    <xf numFmtId="0" fontId="25" fillId="2" borderId="68" xfId="0" applyFont="1" applyFill="1" applyBorder="1" applyAlignment="1" applyProtection="1">
      <alignment horizontal="center" vertical="center"/>
      <protection locked="0"/>
    </xf>
    <xf numFmtId="0" fontId="23" fillId="0" borderId="70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 wrapText="1"/>
    </xf>
    <xf numFmtId="49" fontId="18" fillId="3" borderId="18" xfId="0" applyNumberFormat="1" applyFont="1" applyFill="1" applyBorder="1" applyAlignment="1">
      <alignment horizontal="center" vertical="center"/>
    </xf>
    <xf numFmtId="183" fontId="25" fillId="2" borderId="65" xfId="0" applyNumberFormat="1" applyFont="1" applyFill="1" applyBorder="1" applyAlignment="1" applyProtection="1">
      <alignment horizontal="center" vertical="center"/>
      <protection locked="0"/>
    </xf>
    <xf numFmtId="183" fontId="25" fillId="2" borderId="67" xfId="0" applyNumberFormat="1" applyFont="1" applyFill="1" applyBorder="1" applyAlignment="1" applyProtection="1">
      <alignment horizontal="center" vertical="center"/>
      <protection locked="0"/>
    </xf>
    <xf numFmtId="179" fontId="5" fillId="2" borderId="16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>
      <alignment horizontal="left" vertical="top" wrapText="1"/>
    </xf>
    <xf numFmtId="177" fontId="2" fillId="0" borderId="0" xfId="0" applyNumberFormat="1" applyFont="1" applyBorder="1" applyAlignment="1">
      <alignment horizontal="center" vertical="center"/>
    </xf>
    <xf numFmtId="177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30" xfId="0" applyBorder="1" applyAlignment="1">
      <alignment vertical="top" wrapText="1"/>
    </xf>
    <xf numFmtId="0" fontId="4" fillId="8" borderId="0" xfId="0" applyFont="1" applyFill="1"/>
    <xf numFmtId="0" fontId="9" fillId="8" borderId="11" xfId="0" applyFont="1" applyFill="1" applyBorder="1" applyAlignment="1">
      <alignment horizontal="right" wrapText="1"/>
    </xf>
    <xf numFmtId="0" fontId="0" fillId="5" borderId="20" xfId="0" applyFill="1" applyBorder="1" applyAlignment="1">
      <alignment horizontal="center" vertical="center"/>
    </xf>
    <xf numFmtId="0" fontId="4" fillId="3" borderId="0" xfId="0" applyFont="1" applyFill="1" applyBorder="1" applyProtection="1"/>
    <xf numFmtId="0" fontId="0" fillId="3" borderId="0" xfId="0" applyFill="1" applyBorder="1" applyProtection="1"/>
    <xf numFmtId="0" fontId="0" fillId="5" borderId="25" xfId="0" applyFill="1" applyBorder="1" applyAlignment="1">
      <alignment horizontal="center"/>
    </xf>
    <xf numFmtId="0" fontId="0" fillId="5" borderId="1" xfId="0" applyFill="1" applyBorder="1" applyAlignment="1">
      <alignment horizontal="right" vertical="center"/>
    </xf>
    <xf numFmtId="0" fontId="0" fillId="5" borderId="7" xfId="0" applyNumberFormat="1" applyFont="1" applyFill="1" applyBorder="1" applyAlignment="1">
      <alignment horizontal="center" vertical="center"/>
    </xf>
    <xf numFmtId="0" fontId="0" fillId="5" borderId="55" xfId="0" applyNumberFormat="1" applyFont="1" applyFill="1" applyBorder="1" applyAlignment="1">
      <alignment horizontal="center" vertical="center"/>
    </xf>
    <xf numFmtId="0" fontId="0" fillId="5" borderId="18" xfId="0" applyNumberFormat="1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left" vertical="center"/>
    </xf>
    <xf numFmtId="0" fontId="4" fillId="4" borderId="0" xfId="0" applyFont="1" applyFill="1"/>
    <xf numFmtId="0" fontId="12" fillId="4" borderId="0" xfId="0" applyFont="1" applyFill="1"/>
    <xf numFmtId="0" fontId="0" fillId="0" borderId="0" xfId="0" applyFont="1" applyBorder="1" applyAlignment="1"/>
    <xf numFmtId="0" fontId="0" fillId="2" borderId="16" xfId="0" applyFont="1" applyFill="1" applyBorder="1" applyAlignment="1"/>
    <xf numFmtId="179" fontId="5" fillId="0" borderId="3" xfId="0" applyNumberFormat="1" applyFont="1" applyBorder="1" applyAlignment="1">
      <alignment horizontal="right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/>
    </xf>
    <xf numFmtId="49" fontId="4" fillId="0" borderId="30" xfId="0" applyNumberFormat="1" applyFont="1" applyBorder="1" applyAlignment="1">
      <alignment horizontal="left" vertical="top"/>
    </xf>
    <xf numFmtId="49" fontId="0" fillId="0" borderId="31" xfId="0" applyNumberFormat="1" applyFont="1" applyBorder="1" applyAlignment="1">
      <alignment horizontal="left" vertical="top"/>
    </xf>
    <xf numFmtId="0" fontId="0" fillId="5" borderId="26" xfId="0" applyFill="1" applyBorder="1" applyAlignment="1">
      <alignment horizontal="center"/>
    </xf>
    <xf numFmtId="0" fontId="7" fillId="2" borderId="75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77" fontId="4" fillId="0" borderId="1" xfId="0" applyNumberFormat="1" applyFont="1" applyBorder="1"/>
    <xf numFmtId="0" fontId="0" fillId="5" borderId="34" xfId="0" applyFill="1" applyBorder="1" applyAlignment="1">
      <alignment horizontal="center" vertical="center"/>
    </xf>
    <xf numFmtId="179" fontId="5" fillId="0" borderId="17" xfId="0" applyNumberFormat="1" applyFont="1" applyBorder="1" applyAlignment="1">
      <alignment horizontal="right" vertical="center"/>
    </xf>
    <xf numFmtId="179" fontId="5" fillId="0" borderId="10" xfId="0" applyNumberFormat="1" applyFont="1" applyBorder="1" applyAlignment="1">
      <alignment horizontal="right" vertical="center"/>
    </xf>
    <xf numFmtId="179" fontId="5" fillId="0" borderId="76" xfId="0" applyNumberFormat="1" applyFont="1" applyBorder="1" applyAlignment="1">
      <alignment horizontal="right" vertical="center"/>
    </xf>
    <xf numFmtId="179" fontId="5" fillId="0" borderId="77" xfId="0" applyNumberFormat="1" applyFont="1" applyBorder="1" applyAlignment="1">
      <alignment horizontal="right" vertical="center"/>
    </xf>
    <xf numFmtId="179" fontId="5" fillId="0" borderId="78" xfId="0" applyNumberFormat="1" applyFont="1" applyBorder="1" applyAlignment="1">
      <alignment horizontal="right" vertical="center"/>
    </xf>
    <xf numFmtId="179" fontId="5" fillId="0" borderId="79" xfId="0" applyNumberFormat="1" applyFont="1" applyBorder="1" applyAlignment="1">
      <alignment horizontal="right" vertical="center"/>
    </xf>
    <xf numFmtId="179" fontId="5" fillId="0" borderId="80" xfId="0" applyNumberFormat="1" applyFont="1" applyBorder="1" applyAlignment="1">
      <alignment horizontal="right" vertical="center"/>
    </xf>
    <xf numFmtId="179" fontId="5" fillId="0" borderId="81" xfId="0" applyNumberFormat="1" applyFont="1" applyBorder="1" applyAlignment="1">
      <alignment horizontal="right" vertical="center"/>
    </xf>
    <xf numFmtId="0" fontId="1" fillId="0" borderId="0" xfId="1">
      <alignment vertical="center"/>
    </xf>
    <xf numFmtId="0" fontId="29" fillId="0" borderId="2" xfId="2" applyFont="1" applyBorder="1" applyAlignment="1">
      <alignment horizontal="center" vertical="center"/>
    </xf>
    <xf numFmtId="0" fontId="29" fillId="0" borderId="2" xfId="1" applyFont="1" applyBorder="1" applyAlignment="1">
      <alignment horizontal="center" vertical="center"/>
    </xf>
    <xf numFmtId="184" fontId="29" fillId="0" borderId="2" xfId="2" applyNumberFormat="1" applyFont="1" applyBorder="1" applyAlignment="1">
      <alignment horizontal="center" vertical="center"/>
    </xf>
    <xf numFmtId="176" fontId="29" fillId="0" borderId="2" xfId="2" applyNumberFormat="1" applyFont="1" applyBorder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30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29" fillId="0" borderId="2" xfId="1" applyFont="1" applyBorder="1" applyAlignment="1">
      <alignment horizontal="left" vertical="center"/>
    </xf>
    <xf numFmtId="0" fontId="34" fillId="0" borderId="88" xfId="1" applyFont="1" applyBorder="1" applyAlignment="1">
      <alignment horizontal="center" vertical="center"/>
    </xf>
    <xf numFmtId="0" fontId="34" fillId="0" borderId="85" xfId="1" applyFont="1" applyBorder="1" applyAlignment="1">
      <alignment horizontal="left" vertical="top" wrapText="1"/>
    </xf>
    <xf numFmtId="0" fontId="35" fillId="0" borderId="94" xfId="1" applyFont="1" applyBorder="1" applyAlignment="1">
      <alignment horizontal="center" vertical="center"/>
    </xf>
    <xf numFmtId="0" fontId="34" fillId="0" borderId="91" xfId="1" applyFont="1" applyBorder="1" applyAlignment="1">
      <alignment horizontal="right"/>
    </xf>
    <xf numFmtId="0" fontId="37" fillId="0" borderId="97" xfId="1" applyFont="1" applyBorder="1" applyAlignment="1">
      <alignment horizontal="right" vertical="center" wrapText="1"/>
    </xf>
    <xf numFmtId="0" fontId="36" fillId="0" borderId="0" xfId="1" applyFont="1" applyAlignment="1">
      <alignment horizontal="center" vertical="center"/>
    </xf>
    <xf numFmtId="38" fontId="36" fillId="0" borderId="55" xfId="3" applyFont="1" applyBorder="1" applyAlignment="1" applyProtection="1">
      <alignment horizontal="right" vertical="center"/>
      <protection locked="0"/>
    </xf>
    <xf numFmtId="0" fontId="36" fillId="0" borderId="88" xfId="1" applyFont="1" applyBorder="1" applyAlignment="1" applyProtection="1">
      <alignment horizontal="center" vertical="center"/>
      <protection locked="0"/>
    </xf>
    <xf numFmtId="38" fontId="36" fillId="0" borderId="86" xfId="3" applyFont="1" applyBorder="1" applyAlignment="1">
      <alignment horizontal="right" vertical="center"/>
    </xf>
    <xf numFmtId="0" fontId="36" fillId="0" borderId="104" xfId="1" applyFont="1" applyBorder="1" applyAlignment="1">
      <alignment horizontal="center" vertical="center"/>
    </xf>
    <xf numFmtId="38" fontId="36" fillId="0" borderId="108" xfId="3" applyFont="1" applyBorder="1" applyAlignment="1" applyProtection="1">
      <alignment horizontal="right" vertical="center"/>
      <protection locked="0"/>
    </xf>
    <xf numFmtId="0" fontId="36" fillId="0" borderId="108" xfId="1" applyFont="1" applyBorder="1" applyAlignment="1" applyProtection="1">
      <alignment horizontal="center" vertical="center"/>
      <protection locked="0"/>
    </xf>
    <xf numFmtId="38" fontId="36" fillId="0" borderId="107" xfId="3" applyFont="1" applyBorder="1" applyAlignment="1">
      <alignment horizontal="right" vertical="center"/>
    </xf>
    <xf numFmtId="0" fontId="36" fillId="0" borderId="58" xfId="1" applyFont="1" applyBorder="1" applyAlignment="1">
      <alignment horizontal="center" vertical="center"/>
    </xf>
    <xf numFmtId="0" fontId="36" fillId="0" borderId="18" xfId="1" applyFont="1" applyBorder="1" applyAlignment="1" applyProtection="1">
      <alignment horizontal="center" vertical="center"/>
      <protection locked="0"/>
    </xf>
    <xf numFmtId="38" fontId="36" fillId="0" borderId="72" xfId="3" applyFont="1" applyBorder="1" applyAlignment="1">
      <alignment horizontal="right" vertical="center"/>
    </xf>
    <xf numFmtId="0" fontId="37" fillId="0" borderId="6" xfId="1" applyFont="1" applyBorder="1" applyAlignment="1">
      <alignment horizontal="right" vertical="center" wrapText="1"/>
    </xf>
    <xf numFmtId="0" fontId="36" fillId="0" borderId="114" xfId="1" applyFont="1" applyBorder="1" applyAlignment="1">
      <alignment horizontal="center" vertical="center"/>
    </xf>
    <xf numFmtId="38" fontId="36" fillId="0" borderId="7" xfId="3" applyFont="1" applyBorder="1" applyAlignment="1" applyProtection="1">
      <alignment horizontal="right" vertical="center"/>
      <protection locked="0"/>
    </xf>
    <xf numFmtId="0" fontId="36" fillId="0" borderId="7" xfId="1" applyFont="1" applyBorder="1" applyAlignment="1" applyProtection="1">
      <alignment horizontal="center" vertical="center"/>
      <protection locked="0"/>
    </xf>
    <xf numFmtId="38" fontId="36" fillId="0" borderId="21" xfId="3" applyFont="1" applyBorder="1" applyAlignment="1">
      <alignment horizontal="right" vertical="center"/>
    </xf>
    <xf numFmtId="0" fontId="36" fillId="0" borderId="121" xfId="1" applyFont="1" applyBorder="1" applyAlignment="1">
      <alignment horizontal="center" vertical="center"/>
    </xf>
    <xf numFmtId="38" fontId="36" fillId="0" borderId="18" xfId="3" applyFont="1" applyBorder="1" applyAlignment="1" applyProtection="1">
      <alignment horizontal="right" vertical="center"/>
      <protection locked="0"/>
    </xf>
    <xf numFmtId="38" fontId="36" fillId="0" borderId="20" xfId="3" applyFont="1" applyBorder="1" applyAlignment="1">
      <alignment horizontal="right" vertical="center"/>
    </xf>
    <xf numFmtId="38" fontId="36" fillId="0" borderId="94" xfId="3" applyFont="1" applyBorder="1" applyAlignment="1" applyProtection="1">
      <alignment horizontal="right" vertical="center"/>
      <protection locked="0"/>
    </xf>
    <xf numFmtId="0" fontId="36" fillId="0" borderId="55" xfId="1" applyFont="1" applyBorder="1" applyAlignment="1" applyProtection="1">
      <alignment horizontal="center" vertical="center"/>
      <protection locked="0"/>
    </xf>
    <xf numFmtId="5" fontId="38" fillId="0" borderId="131" xfId="1" applyNumberFormat="1" applyFont="1" applyBorder="1" applyAlignment="1">
      <alignment horizontal="right" vertical="center"/>
    </xf>
    <xf numFmtId="0" fontId="36" fillId="0" borderId="2" xfId="1" applyFont="1" applyBorder="1" applyAlignment="1">
      <alignment horizontal="center" vertical="center"/>
    </xf>
    <xf numFmtId="0" fontId="1" fillId="0" borderId="1" xfId="1" applyBorder="1">
      <alignment vertical="center"/>
    </xf>
    <xf numFmtId="6" fontId="1" fillId="0" borderId="1" xfId="1" applyNumberFormat="1" applyBorder="1">
      <alignment vertical="center"/>
    </xf>
    <xf numFmtId="5" fontId="1" fillId="0" borderId="1" xfId="1" applyNumberFormat="1" applyBorder="1">
      <alignment vertical="center"/>
    </xf>
    <xf numFmtId="49" fontId="4" fillId="0" borderId="19" xfId="0" applyNumberFormat="1" applyFont="1" applyBorder="1" applyAlignment="1">
      <alignment horizontal="center" vertical="top"/>
    </xf>
    <xf numFmtId="49" fontId="4" fillId="0" borderId="26" xfId="0" applyNumberFormat="1" applyFont="1" applyBorder="1" applyAlignment="1">
      <alignment horizontal="center" vertical="top"/>
    </xf>
    <xf numFmtId="0" fontId="0" fillId="5" borderId="73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49" fontId="0" fillId="0" borderId="17" xfId="0" applyNumberFormat="1" applyBorder="1" applyAlignment="1">
      <alignment horizontal="center" vertical="top"/>
    </xf>
    <xf numFmtId="49" fontId="0" fillId="0" borderId="74" xfId="0" applyNumberFormat="1" applyBorder="1" applyAlignment="1">
      <alignment horizontal="center" vertical="top"/>
    </xf>
    <xf numFmtId="179" fontId="0" fillId="0" borderId="6" xfId="0" applyNumberFormat="1" applyBorder="1" applyAlignment="1">
      <alignment horizontal="right" vertical="center"/>
    </xf>
    <xf numFmtId="179" fontId="0" fillId="0" borderId="4" xfId="0" applyNumberFormat="1" applyBorder="1" applyAlignment="1">
      <alignment horizontal="right" vertical="center"/>
    </xf>
    <xf numFmtId="178" fontId="0" fillId="0" borderId="6" xfId="0" applyNumberFormat="1" applyBorder="1" applyAlignment="1">
      <alignment horizontal="center" vertical="center"/>
    </xf>
    <xf numFmtId="178" fontId="0" fillId="0" borderId="5" xfId="0" applyNumberFormat="1" applyBorder="1" applyAlignment="1">
      <alignment horizontal="center" vertical="center"/>
    </xf>
    <xf numFmtId="178" fontId="0" fillId="0" borderId="34" xfId="0" applyNumberFormat="1" applyBorder="1" applyAlignment="1">
      <alignment horizontal="center" vertical="center"/>
    </xf>
    <xf numFmtId="178" fontId="0" fillId="0" borderId="72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" fillId="8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177" fontId="9" fillId="5" borderId="6" xfId="0" applyNumberFormat="1" applyFont="1" applyFill="1" applyBorder="1" applyAlignment="1">
      <alignment horizontal="center" vertical="center"/>
    </xf>
    <xf numFmtId="177" fontId="9" fillId="5" borderId="4" xfId="0" applyNumberFormat="1" applyFont="1" applyFill="1" applyBorder="1" applyAlignment="1">
      <alignment horizontal="center" vertical="center"/>
    </xf>
    <xf numFmtId="177" fontId="9" fillId="5" borderId="5" xfId="0" applyNumberFormat="1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0" fillId="5" borderId="6" xfId="0" applyFont="1" applyFill="1" applyBorder="1" applyAlignment="1">
      <alignment horizontal="center" vertical="center"/>
    </xf>
    <xf numFmtId="0" fontId="0" fillId="5" borderId="4" xfId="0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center" vertical="center"/>
    </xf>
    <xf numFmtId="177" fontId="9" fillId="5" borderId="1" xfId="0" applyNumberFormat="1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0" fillId="0" borderId="27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29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0" xfId="0" applyBorder="1" applyAlignment="1">
      <alignment vertical="top" wrapText="1"/>
    </xf>
    <xf numFmtId="0" fontId="0" fillId="0" borderId="35" xfId="0" applyBorder="1" applyAlignment="1">
      <alignment vertical="top" wrapText="1"/>
    </xf>
    <xf numFmtId="0" fontId="0" fillId="8" borderId="30" xfId="0" applyFill="1" applyBorder="1" applyAlignment="1">
      <alignment vertical="top" wrapText="1"/>
    </xf>
    <xf numFmtId="0" fontId="0" fillId="8" borderId="31" xfId="0" applyFill="1" applyBorder="1" applyAlignment="1">
      <alignment vertical="top" wrapText="1"/>
    </xf>
    <xf numFmtId="177" fontId="5" fillId="8" borderId="3" xfId="0" applyNumberFormat="1" applyFont="1" applyFill="1" applyBorder="1" applyAlignment="1">
      <alignment horizontal="right" vertical="center"/>
    </xf>
    <xf numFmtId="177" fontId="5" fillId="8" borderId="36" xfId="0" applyNumberFormat="1" applyFont="1" applyFill="1" applyBorder="1" applyAlignment="1">
      <alignment horizontal="right" vertical="center"/>
    </xf>
    <xf numFmtId="177" fontId="5" fillId="8" borderId="42" xfId="0" applyNumberFormat="1" applyFont="1" applyFill="1" applyBorder="1" applyAlignment="1">
      <alignment horizontal="right" vertical="center"/>
    </xf>
    <xf numFmtId="177" fontId="5" fillId="3" borderId="3" xfId="0" applyNumberFormat="1" applyFont="1" applyFill="1" applyBorder="1" applyAlignment="1">
      <alignment horizontal="right" vertical="center"/>
    </xf>
    <xf numFmtId="177" fontId="5" fillId="3" borderId="36" xfId="0" applyNumberFormat="1" applyFont="1" applyFill="1" applyBorder="1" applyAlignment="1">
      <alignment horizontal="right" vertical="center"/>
    </xf>
    <xf numFmtId="177" fontId="5" fillId="3" borderId="37" xfId="0" applyNumberFormat="1" applyFont="1" applyFill="1" applyBorder="1" applyAlignment="1">
      <alignment horizontal="right" vertical="center"/>
    </xf>
    <xf numFmtId="177" fontId="5" fillId="0" borderId="10" xfId="0" applyNumberFormat="1" applyFont="1" applyBorder="1" applyAlignment="1">
      <alignment horizontal="right" vertical="center"/>
    </xf>
    <xf numFmtId="177" fontId="5" fillId="0" borderId="46" xfId="0" applyNumberFormat="1" applyFont="1" applyBorder="1" applyAlignment="1">
      <alignment horizontal="right" vertical="center"/>
    </xf>
    <xf numFmtId="177" fontId="5" fillId="0" borderId="47" xfId="0" applyNumberFormat="1" applyFont="1" applyBorder="1" applyAlignment="1">
      <alignment horizontal="right" vertical="center"/>
    </xf>
    <xf numFmtId="177" fontId="5" fillId="8" borderId="10" xfId="0" applyNumberFormat="1" applyFont="1" applyFill="1" applyBorder="1" applyAlignment="1">
      <alignment horizontal="right" vertical="center"/>
    </xf>
    <xf numFmtId="177" fontId="5" fillId="8" borderId="46" xfId="0" applyNumberFormat="1" applyFont="1" applyFill="1" applyBorder="1" applyAlignment="1">
      <alignment horizontal="right" vertical="center"/>
    </xf>
    <xf numFmtId="177" fontId="5" fillId="8" borderId="48" xfId="0" applyNumberFormat="1" applyFont="1" applyFill="1" applyBorder="1" applyAlignment="1">
      <alignment horizontal="right" vertical="center"/>
    </xf>
    <xf numFmtId="0" fontId="4" fillId="0" borderId="49" xfId="0" applyFont="1" applyBorder="1" applyAlignment="1">
      <alignment horizontal="center"/>
    </xf>
    <xf numFmtId="0" fontId="4" fillId="0" borderId="50" xfId="0" applyFont="1" applyBorder="1" applyAlignment="1">
      <alignment horizontal="center"/>
    </xf>
    <xf numFmtId="0" fontId="0" fillId="0" borderId="30" xfId="0" applyBorder="1" applyAlignment="1">
      <alignment horizontal="center" wrapText="1"/>
    </xf>
    <xf numFmtId="0" fontId="0" fillId="0" borderId="0" xfId="0" applyAlignment="1">
      <alignment horizontal="center" wrapText="1"/>
    </xf>
    <xf numFmtId="177" fontId="5" fillId="0" borderId="39" xfId="0" applyNumberFormat="1" applyFont="1" applyBorder="1" applyAlignment="1">
      <alignment horizontal="right" vertical="center"/>
    </xf>
    <xf numFmtId="177" fontId="5" fillId="0" borderId="40" xfId="0" applyNumberFormat="1" applyFont="1" applyBorder="1" applyAlignment="1">
      <alignment horizontal="right" vertical="center"/>
    </xf>
    <xf numFmtId="177" fontId="5" fillId="0" borderId="41" xfId="0" applyNumberFormat="1" applyFont="1" applyBorder="1" applyAlignment="1">
      <alignment horizontal="right" vertical="center"/>
    </xf>
    <xf numFmtId="177" fontId="5" fillId="0" borderId="3" xfId="0" applyNumberFormat="1" applyFont="1" applyBorder="1" applyAlignment="1">
      <alignment horizontal="right" vertical="center"/>
    </xf>
    <xf numFmtId="177" fontId="5" fillId="0" borderId="36" xfId="0" applyNumberFormat="1" applyFont="1" applyBorder="1" applyAlignment="1">
      <alignment horizontal="right" vertical="center"/>
    </xf>
    <xf numFmtId="177" fontId="5" fillId="0" borderId="37" xfId="0" applyNumberFormat="1" applyFont="1" applyBorder="1" applyAlignment="1">
      <alignment horizontal="right" vertical="center"/>
    </xf>
    <xf numFmtId="177" fontId="5" fillId="8" borderId="39" xfId="0" applyNumberFormat="1" applyFont="1" applyFill="1" applyBorder="1" applyAlignment="1">
      <alignment horizontal="right" vertical="center"/>
    </xf>
    <xf numFmtId="177" fontId="5" fillId="8" borderId="40" xfId="0" applyNumberFormat="1" applyFont="1" applyFill="1" applyBorder="1" applyAlignment="1">
      <alignment horizontal="right" vertical="center"/>
    </xf>
    <xf numFmtId="177" fontId="5" fillId="8" borderId="43" xfId="0" applyNumberFormat="1" applyFont="1" applyFill="1" applyBorder="1" applyAlignment="1">
      <alignment horizontal="right" vertical="center"/>
    </xf>
    <xf numFmtId="177" fontId="2" fillId="0" borderId="13" xfId="0" applyNumberFormat="1" applyFont="1" applyBorder="1" applyAlignment="1">
      <alignment horizontal="center" vertical="center"/>
    </xf>
    <xf numFmtId="177" fontId="2" fillId="0" borderId="25" xfId="0" applyNumberFormat="1" applyFont="1" applyBorder="1" applyAlignment="1">
      <alignment horizontal="center" vertical="center"/>
    </xf>
    <xf numFmtId="177" fontId="2" fillId="0" borderId="38" xfId="0" applyNumberFormat="1" applyFont="1" applyBorder="1" applyAlignment="1">
      <alignment horizontal="center" vertical="center"/>
    </xf>
    <xf numFmtId="177" fontId="2" fillId="8" borderId="13" xfId="0" applyNumberFormat="1" applyFont="1" applyFill="1" applyBorder="1" applyAlignment="1">
      <alignment horizontal="center" vertical="center"/>
    </xf>
    <xf numFmtId="177" fontId="2" fillId="8" borderId="25" xfId="0" applyNumberFormat="1" applyFont="1" applyFill="1" applyBorder="1" applyAlignment="1">
      <alignment horizontal="center" vertical="center"/>
    </xf>
    <xf numFmtId="177" fontId="2" fillId="8" borderId="38" xfId="0" applyNumberFormat="1" applyFont="1" applyFill="1" applyBorder="1" applyAlignment="1">
      <alignment horizontal="center" vertical="center"/>
    </xf>
    <xf numFmtId="0" fontId="7" fillId="6" borderId="49" xfId="0" applyFont="1" applyFill="1" applyBorder="1" applyAlignment="1">
      <alignment horizontal="left" vertical="center"/>
    </xf>
    <xf numFmtId="0" fontId="7" fillId="6" borderId="51" xfId="0" applyFont="1" applyFill="1" applyBorder="1" applyAlignment="1">
      <alignment horizontal="left" vertical="center"/>
    </xf>
    <xf numFmtId="0" fontId="7" fillId="6" borderId="50" xfId="0" applyFont="1" applyFill="1" applyBorder="1" applyAlignment="1">
      <alignment horizontal="left" vertical="center"/>
    </xf>
    <xf numFmtId="177" fontId="5" fillId="0" borderId="44" xfId="0" applyNumberFormat="1" applyFont="1" applyBorder="1" applyAlignment="1">
      <alignment horizontal="right" vertical="center"/>
    </xf>
    <xf numFmtId="177" fontId="5" fillId="0" borderId="45" xfId="0" applyNumberFormat="1" applyFont="1" applyBorder="1" applyAlignment="1">
      <alignment horizontal="right" vertical="center"/>
    </xf>
    <xf numFmtId="0" fontId="0" fillId="0" borderId="32" xfId="0" applyBorder="1" applyAlignment="1">
      <alignment horizontal="center"/>
    </xf>
    <xf numFmtId="0" fontId="7" fillId="6" borderId="49" xfId="0" applyFont="1" applyFill="1" applyBorder="1" applyAlignment="1">
      <alignment horizontal="center" vertical="center"/>
    </xf>
    <xf numFmtId="0" fontId="7" fillId="6" borderId="51" xfId="0" applyFont="1" applyFill="1" applyBorder="1" applyAlignment="1">
      <alignment horizontal="center" vertical="center"/>
    </xf>
    <xf numFmtId="0" fontId="7" fillId="6" borderId="50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6" fillId="0" borderId="0" xfId="0" applyFont="1" applyAlignment="1">
      <alignment horizontal="center" wrapText="1"/>
    </xf>
    <xf numFmtId="0" fontId="6" fillId="0" borderId="26" xfId="0" applyFont="1" applyBorder="1" applyAlignment="1">
      <alignment horizontal="center" wrapText="1"/>
    </xf>
    <xf numFmtId="0" fontId="0" fillId="0" borderId="25" xfId="0" applyBorder="1" applyAlignment="1">
      <alignment vertical="top" wrapText="1"/>
    </xf>
    <xf numFmtId="0" fontId="0" fillId="0" borderId="38" xfId="0" applyBorder="1" applyAlignment="1">
      <alignment vertical="top" wrapText="1"/>
    </xf>
    <xf numFmtId="0" fontId="0" fillId="0" borderId="32" xfId="0" applyFont="1" applyBorder="1" applyAlignment="1">
      <alignment horizontal="center"/>
    </xf>
    <xf numFmtId="0" fontId="9" fillId="2" borderId="49" xfId="0" applyFont="1" applyFill="1" applyBorder="1" applyAlignment="1">
      <alignment horizontal="center"/>
    </xf>
    <xf numFmtId="0" fontId="9" fillId="2" borderId="50" xfId="0" applyFont="1" applyFill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6" xfId="0" applyFont="1" applyFill="1" applyBorder="1" applyAlignment="1">
      <alignment horizontal="right" vertical="center"/>
    </xf>
    <xf numFmtId="0" fontId="0" fillId="0" borderId="4" xfId="0" applyFont="1" applyFill="1" applyBorder="1" applyAlignment="1">
      <alignment horizontal="right" vertical="center"/>
    </xf>
    <xf numFmtId="0" fontId="0" fillId="0" borderId="71" xfId="0" applyFont="1" applyFill="1" applyBorder="1" applyAlignment="1">
      <alignment horizontal="right" vertical="center"/>
    </xf>
    <xf numFmtId="0" fontId="2" fillId="0" borderId="7" xfId="0" applyNumberFormat="1" applyFont="1" applyBorder="1" applyAlignment="1">
      <alignment horizontal="center" vertical="center"/>
    </xf>
    <xf numFmtId="0" fontId="2" fillId="0" borderId="18" xfId="0" applyNumberFormat="1" applyFont="1" applyBorder="1" applyAlignment="1">
      <alignment horizontal="center" vertical="center"/>
    </xf>
    <xf numFmtId="0" fontId="26" fillId="0" borderId="0" xfId="1" applyFont="1" applyAlignment="1">
      <alignment horizontal="center" vertical="center"/>
    </xf>
    <xf numFmtId="0" fontId="28" fillId="0" borderId="0" xfId="1" applyFont="1" applyAlignment="1">
      <alignment horizontal="center" vertical="center"/>
    </xf>
    <xf numFmtId="0" fontId="29" fillId="0" borderId="6" xfId="1" applyFont="1" applyBorder="1" applyAlignment="1">
      <alignment horizontal="center" vertical="center"/>
    </xf>
    <xf numFmtId="0" fontId="29" fillId="0" borderId="5" xfId="1" applyFont="1" applyBorder="1" applyAlignment="1">
      <alignment horizontal="center" vertical="center"/>
    </xf>
    <xf numFmtId="0" fontId="29" fillId="0" borderId="2" xfId="1" applyFont="1" applyBorder="1" applyAlignment="1">
      <alignment horizontal="left" vertical="center"/>
    </xf>
    <xf numFmtId="0" fontId="30" fillId="0" borderId="17" xfId="1" applyFont="1" applyBorder="1" applyAlignment="1">
      <alignment horizontal="center" vertical="center"/>
    </xf>
    <xf numFmtId="0" fontId="30" fillId="0" borderId="21" xfId="1" applyFont="1" applyBorder="1" applyAlignment="1">
      <alignment horizontal="center" vertical="center"/>
    </xf>
    <xf numFmtId="0" fontId="30" fillId="0" borderId="19" xfId="1" applyFont="1" applyBorder="1" applyAlignment="1">
      <alignment horizontal="center" vertical="center"/>
    </xf>
    <xf numFmtId="0" fontId="30" fillId="0" borderId="20" xfId="1" applyFont="1" applyBorder="1" applyAlignment="1">
      <alignment horizontal="center" vertical="center"/>
    </xf>
    <xf numFmtId="0" fontId="30" fillId="0" borderId="34" xfId="1" applyFont="1" applyBorder="1" applyAlignment="1">
      <alignment horizontal="center" vertical="center"/>
    </xf>
    <xf numFmtId="0" fontId="30" fillId="0" borderId="72" xfId="1" applyFont="1" applyBorder="1" applyAlignment="1">
      <alignment horizontal="center" vertical="center"/>
    </xf>
    <xf numFmtId="0" fontId="29" fillId="0" borderId="83" xfId="1" applyFont="1" applyBorder="1" applyAlignment="1">
      <alignment horizontal="center" vertical="center"/>
    </xf>
    <xf numFmtId="0" fontId="29" fillId="0" borderId="84" xfId="1" applyFont="1" applyBorder="1" applyAlignment="1">
      <alignment horizontal="center" vertical="center"/>
    </xf>
    <xf numFmtId="0" fontId="29" fillId="0" borderId="90" xfId="1" applyFont="1" applyBorder="1" applyAlignment="1">
      <alignment horizontal="center" vertical="center"/>
    </xf>
    <xf numFmtId="0" fontId="29" fillId="0" borderId="82" xfId="1" applyFont="1" applyBorder="1" applyAlignment="1">
      <alignment horizontal="center" vertical="center"/>
    </xf>
    <xf numFmtId="0" fontId="29" fillId="0" borderId="85" xfId="1" applyFont="1" applyBorder="1" applyAlignment="1">
      <alignment horizontal="center" vertical="center"/>
    </xf>
    <xf numFmtId="0" fontId="29" fillId="0" borderId="86" xfId="1" applyFont="1" applyBorder="1" applyAlignment="1">
      <alignment horizontal="center" vertical="center"/>
    </xf>
    <xf numFmtId="0" fontId="29" fillId="0" borderId="91" xfId="1" applyFont="1" applyBorder="1" applyAlignment="1">
      <alignment horizontal="center" vertical="center"/>
    </xf>
    <xf numFmtId="0" fontId="29" fillId="0" borderId="92" xfId="1" applyFont="1" applyBorder="1" applyAlignment="1">
      <alignment horizontal="center" vertical="center"/>
    </xf>
    <xf numFmtId="0" fontId="29" fillId="0" borderId="87" xfId="1" applyFont="1" applyBorder="1" applyAlignment="1">
      <alignment horizontal="center" vertical="center"/>
    </xf>
    <xf numFmtId="0" fontId="35" fillId="0" borderId="88" xfId="1" applyFont="1" applyBorder="1" applyAlignment="1">
      <alignment horizontal="center" vertical="center" wrapText="1"/>
    </xf>
    <xf numFmtId="0" fontId="35" fillId="0" borderId="94" xfId="1" applyFont="1" applyBorder="1" applyAlignment="1">
      <alignment horizontal="center" vertical="center"/>
    </xf>
    <xf numFmtId="0" fontId="35" fillId="0" borderId="85" xfId="1" applyFont="1" applyBorder="1" applyAlignment="1">
      <alignment horizontal="center" vertical="center"/>
    </xf>
    <xf numFmtId="0" fontId="35" fillId="0" borderId="86" xfId="1" applyFont="1" applyBorder="1" applyAlignment="1">
      <alignment horizontal="center" vertical="center"/>
    </xf>
    <xf numFmtId="0" fontId="35" fillId="0" borderId="91" xfId="1" applyFont="1" applyBorder="1" applyAlignment="1">
      <alignment horizontal="center" vertical="center"/>
    </xf>
    <xf numFmtId="0" fontId="35" fillId="0" borderId="92" xfId="1" applyFont="1" applyBorder="1" applyAlignment="1">
      <alignment horizontal="center" vertical="center"/>
    </xf>
    <xf numFmtId="0" fontId="35" fillId="0" borderId="89" xfId="1" applyFont="1" applyBorder="1" applyAlignment="1">
      <alignment horizontal="center" vertical="center"/>
    </xf>
    <xf numFmtId="0" fontId="35" fillId="0" borderId="95" xfId="1" applyFont="1" applyBorder="1" applyAlignment="1">
      <alignment horizontal="center" vertical="center"/>
    </xf>
    <xf numFmtId="0" fontId="29" fillId="0" borderId="93" xfId="1" applyFont="1" applyBorder="1" applyAlignment="1">
      <alignment horizontal="center" vertical="center"/>
    </xf>
    <xf numFmtId="0" fontId="29" fillId="0" borderId="2" xfId="1" applyFont="1" applyBorder="1" applyAlignment="1">
      <alignment horizontal="center" vertical="center"/>
    </xf>
    <xf numFmtId="0" fontId="31" fillId="0" borderId="2" xfId="1" applyFont="1" applyBorder="1" applyAlignment="1">
      <alignment horizontal="center" vertical="center"/>
    </xf>
    <xf numFmtId="0" fontId="32" fillId="0" borderId="82" xfId="1" applyFont="1" applyBorder="1" applyAlignment="1">
      <alignment horizontal="center" vertical="center"/>
    </xf>
    <xf numFmtId="5" fontId="33" fillId="0" borderId="82" xfId="1" applyNumberFormat="1" applyFont="1" applyBorder="1" applyAlignment="1">
      <alignment horizontal="right" vertical="center" indent="1"/>
    </xf>
    <xf numFmtId="38" fontId="36" fillId="0" borderId="102" xfId="3" applyFont="1" applyBorder="1" applyAlignment="1" applyProtection="1">
      <alignment horizontal="right" vertical="center"/>
      <protection locked="0"/>
    </xf>
    <xf numFmtId="38" fontId="36" fillId="0" borderId="111" xfId="3" applyFont="1" applyBorder="1" applyAlignment="1" applyProtection="1">
      <alignment horizontal="right" vertical="center"/>
      <protection locked="0"/>
    </xf>
    <xf numFmtId="49" fontId="36" fillId="0" borderId="19" xfId="1" applyNumberFormat="1" applyFont="1" applyBorder="1" applyAlignment="1" applyProtection="1">
      <alignment horizontal="left" vertical="center" wrapText="1"/>
      <protection locked="0"/>
    </xf>
    <xf numFmtId="49" fontId="36" fillId="0" borderId="0" xfId="1" applyNumberFormat="1" applyFont="1" applyAlignment="1" applyProtection="1">
      <alignment horizontal="left" vertical="center" wrapText="1"/>
      <protection locked="0"/>
    </xf>
    <xf numFmtId="49" fontId="36" fillId="0" borderId="20" xfId="1" applyNumberFormat="1" applyFont="1" applyBorder="1" applyAlignment="1" applyProtection="1">
      <alignment horizontal="left" vertical="center" wrapText="1"/>
      <protection locked="0"/>
    </xf>
    <xf numFmtId="0" fontId="36" fillId="0" borderId="103" xfId="1" applyFont="1" applyBorder="1" applyAlignment="1" applyProtection="1">
      <alignment horizontal="left" vertical="center"/>
      <protection locked="0"/>
    </xf>
    <xf numFmtId="0" fontId="36" fillId="0" borderId="104" xfId="1" applyFont="1" applyBorder="1" applyAlignment="1" applyProtection="1">
      <alignment horizontal="left" vertical="center"/>
      <protection locked="0"/>
    </xf>
    <xf numFmtId="0" fontId="36" fillId="0" borderId="105" xfId="1" applyFont="1" applyBorder="1" applyAlignment="1" applyProtection="1">
      <alignment horizontal="left" vertical="center"/>
      <protection locked="0"/>
    </xf>
    <xf numFmtId="0" fontId="36" fillId="0" borderId="106" xfId="1" applyFont="1" applyBorder="1" applyAlignment="1" applyProtection="1">
      <alignment horizontal="left" vertical="center"/>
      <protection locked="0"/>
    </xf>
    <xf numFmtId="0" fontId="36" fillId="0" borderId="107" xfId="1" applyFont="1" applyBorder="1" applyAlignment="1" applyProtection="1">
      <alignment horizontal="left" vertical="center"/>
      <protection locked="0"/>
    </xf>
    <xf numFmtId="0" fontId="36" fillId="0" borderId="19" xfId="1" applyFont="1" applyBorder="1" applyAlignment="1" applyProtection="1">
      <alignment horizontal="left" vertical="center"/>
      <protection locked="0"/>
    </xf>
    <xf numFmtId="0" fontId="36" fillId="0" borderId="0" xfId="1" applyFont="1" applyAlignment="1" applyProtection="1">
      <alignment horizontal="left" vertical="center"/>
      <protection locked="0"/>
    </xf>
    <xf numFmtId="0" fontId="36" fillId="0" borderId="45" xfId="1" applyFont="1" applyBorder="1" applyAlignment="1" applyProtection="1">
      <alignment horizontal="left" vertical="center"/>
      <protection locked="0"/>
    </xf>
    <xf numFmtId="0" fontId="36" fillId="0" borderId="57" xfId="1" applyFont="1" applyBorder="1" applyAlignment="1" applyProtection="1">
      <alignment horizontal="left" vertical="center"/>
      <protection locked="0"/>
    </xf>
    <xf numFmtId="0" fontId="36" fillId="0" borderId="58" xfId="1" applyFont="1" applyBorder="1" applyAlignment="1" applyProtection="1">
      <alignment horizontal="left" vertical="center"/>
      <protection locked="0"/>
    </xf>
    <xf numFmtId="0" fontId="36" fillId="0" borderId="110" xfId="1" applyFont="1" applyBorder="1" applyAlignment="1" applyProtection="1">
      <alignment horizontal="left" vertical="center"/>
      <protection locked="0"/>
    </xf>
    <xf numFmtId="180" fontId="36" fillId="0" borderId="96" xfId="1" applyNumberFormat="1" applyFont="1" applyBorder="1" applyAlignment="1" applyProtection="1">
      <alignment horizontal="center" vertical="center"/>
      <protection locked="0"/>
    </xf>
    <xf numFmtId="180" fontId="36" fillId="0" borderId="0" xfId="1" applyNumberFormat="1" applyFont="1" applyAlignment="1" applyProtection="1">
      <alignment horizontal="center" vertical="center"/>
      <protection locked="0"/>
    </xf>
    <xf numFmtId="180" fontId="36" fillId="0" borderId="109" xfId="1" applyNumberFormat="1" applyFont="1" applyBorder="1" applyAlignment="1" applyProtection="1">
      <alignment horizontal="center" vertical="center"/>
      <protection locked="0"/>
    </xf>
    <xf numFmtId="180" fontId="36" fillId="0" borderId="2" xfId="1" applyNumberFormat="1" applyFont="1" applyBorder="1" applyAlignment="1" applyProtection="1">
      <alignment horizontal="center" vertical="center"/>
      <protection locked="0"/>
    </xf>
    <xf numFmtId="0" fontId="36" fillId="0" borderId="98" xfId="1" applyFont="1" applyBorder="1" applyAlignment="1" applyProtection="1">
      <alignment horizontal="left" vertical="center" wrapText="1"/>
      <protection locked="0"/>
    </xf>
    <xf numFmtId="0" fontId="36" fillId="0" borderId="99" xfId="1" applyFont="1" applyBorder="1" applyAlignment="1" applyProtection="1">
      <alignment horizontal="left" vertical="center" wrapText="1"/>
      <protection locked="0"/>
    </xf>
    <xf numFmtId="0" fontId="36" fillId="0" borderId="100" xfId="1" applyFont="1" applyBorder="1" applyAlignment="1" applyProtection="1">
      <alignment horizontal="left" vertical="center"/>
      <protection locked="0"/>
    </xf>
    <xf numFmtId="0" fontId="36" fillId="0" borderId="87" xfId="1" applyFont="1" applyBorder="1" applyAlignment="1" applyProtection="1">
      <alignment horizontal="left" vertical="center"/>
      <protection locked="0"/>
    </xf>
    <xf numFmtId="0" fontId="36" fillId="0" borderId="101" xfId="1" applyFont="1" applyBorder="1" applyAlignment="1" applyProtection="1">
      <alignment horizontal="left" vertical="center"/>
      <protection locked="0"/>
    </xf>
    <xf numFmtId="38" fontId="36" fillId="0" borderId="19" xfId="3" applyFont="1" applyBorder="1" applyAlignment="1">
      <alignment horizontal="right" vertical="center"/>
    </xf>
    <xf numFmtId="38" fontId="36" fillId="0" borderId="20" xfId="3" applyFont="1" applyBorder="1" applyAlignment="1">
      <alignment horizontal="right" vertical="center"/>
    </xf>
    <xf numFmtId="38" fontId="36" fillId="0" borderId="34" xfId="3" applyFont="1" applyBorder="1" applyAlignment="1">
      <alignment horizontal="right" vertical="center"/>
    </xf>
    <xf numFmtId="38" fontId="36" fillId="0" borderId="72" xfId="3" applyFont="1" applyBorder="1" applyAlignment="1">
      <alignment horizontal="right" vertical="center"/>
    </xf>
    <xf numFmtId="38" fontId="36" fillId="0" borderId="118" xfId="3" applyFont="1" applyBorder="1" applyAlignment="1" applyProtection="1">
      <alignment horizontal="right" vertical="center"/>
      <protection locked="0"/>
    </xf>
    <xf numFmtId="49" fontId="36" fillId="0" borderId="6" xfId="1" applyNumberFormat="1" applyFont="1" applyBorder="1" applyAlignment="1" applyProtection="1">
      <alignment horizontal="left" vertical="center" wrapText="1"/>
      <protection locked="0"/>
    </xf>
    <xf numFmtId="49" fontId="36" fillId="0" borderId="4" xfId="1" applyNumberFormat="1" applyFont="1" applyBorder="1" applyAlignment="1" applyProtection="1">
      <alignment horizontal="left" vertical="center" wrapText="1"/>
      <protection locked="0"/>
    </xf>
    <xf numFmtId="49" fontId="36" fillId="0" borderId="5" xfId="1" applyNumberFormat="1" applyFont="1" applyBorder="1" applyAlignment="1" applyProtection="1">
      <alignment horizontal="left" vertical="center" wrapText="1"/>
      <protection locked="0"/>
    </xf>
    <xf numFmtId="0" fontId="36" fillId="0" borderId="34" xfId="1" applyFont="1" applyBorder="1" applyAlignment="1" applyProtection="1">
      <alignment horizontal="left" vertical="center"/>
      <protection locked="0"/>
    </xf>
    <xf numFmtId="0" fontId="36" fillId="0" borderId="2" xfId="1" applyFont="1" applyBorder="1" applyAlignment="1" applyProtection="1">
      <alignment horizontal="left" vertical="center"/>
      <protection locked="0"/>
    </xf>
    <xf numFmtId="0" fontId="36" fillId="0" borderId="119" xfId="1" applyFont="1" applyBorder="1" applyAlignment="1" applyProtection="1">
      <alignment horizontal="left" vertical="center"/>
      <protection locked="0"/>
    </xf>
    <xf numFmtId="0" fontId="36" fillId="0" borderId="120" xfId="1" applyFont="1" applyBorder="1" applyAlignment="1" applyProtection="1">
      <alignment horizontal="left" vertical="center"/>
      <protection locked="0"/>
    </xf>
    <xf numFmtId="0" fontId="36" fillId="0" borderId="121" xfId="1" applyFont="1" applyBorder="1" applyAlignment="1" applyProtection="1">
      <alignment horizontal="left" vertical="center"/>
      <protection locked="0"/>
    </xf>
    <xf numFmtId="0" fontId="36" fillId="0" borderId="122" xfId="1" applyFont="1" applyBorder="1" applyAlignment="1" applyProtection="1">
      <alignment horizontal="left" vertical="center"/>
      <protection locked="0"/>
    </xf>
    <xf numFmtId="180" fontId="36" fillId="0" borderId="112" xfId="1" applyNumberFormat="1" applyFont="1" applyBorder="1" applyAlignment="1" applyProtection="1">
      <alignment horizontal="center" vertical="center"/>
      <protection locked="0"/>
    </xf>
    <xf numFmtId="180" fontId="36" fillId="0" borderId="9" xfId="1" applyNumberFormat="1" applyFont="1" applyBorder="1" applyAlignment="1" applyProtection="1">
      <alignment horizontal="center" vertical="center"/>
      <protection locked="0"/>
    </xf>
    <xf numFmtId="0" fontId="36" fillId="0" borderId="4" xfId="1" applyFont="1" applyBorder="1" applyAlignment="1" applyProtection="1">
      <alignment horizontal="left" vertical="center" wrapText="1"/>
      <protection locked="0"/>
    </xf>
    <xf numFmtId="0" fontId="36" fillId="0" borderId="5" xfId="1" applyFont="1" applyBorder="1" applyAlignment="1" applyProtection="1">
      <alignment horizontal="left" vertical="center" wrapText="1"/>
      <protection locked="0"/>
    </xf>
    <xf numFmtId="0" fontId="36" fillId="0" borderId="113" xfId="1" applyFont="1" applyBorder="1" applyAlignment="1" applyProtection="1">
      <alignment horizontal="left" vertical="center"/>
      <protection locked="0"/>
    </xf>
    <xf numFmtId="0" fontId="36" fillId="0" borderId="114" xfId="1" applyFont="1" applyBorder="1" applyAlignment="1" applyProtection="1">
      <alignment horizontal="left" vertical="center"/>
      <protection locked="0"/>
    </xf>
    <xf numFmtId="0" fontId="36" fillId="0" borderId="115" xfId="1" applyFont="1" applyBorder="1" applyAlignment="1" applyProtection="1">
      <alignment horizontal="left" vertical="center"/>
      <protection locked="0"/>
    </xf>
    <xf numFmtId="0" fontId="36" fillId="0" borderId="116" xfId="1" applyFont="1" applyBorder="1" applyAlignment="1" applyProtection="1">
      <alignment horizontal="left" vertical="center"/>
      <protection locked="0"/>
    </xf>
    <xf numFmtId="0" fontId="36" fillId="0" borderId="117" xfId="1" applyFont="1" applyBorder="1" applyAlignment="1" applyProtection="1">
      <alignment horizontal="left" vertical="center"/>
      <protection locked="0"/>
    </xf>
    <xf numFmtId="38" fontId="36" fillId="0" borderId="17" xfId="3" applyFont="1" applyBorder="1" applyAlignment="1">
      <alignment horizontal="right" vertical="center"/>
    </xf>
    <xf numFmtId="38" fontId="36" fillId="0" borderId="21" xfId="3" applyFont="1" applyBorder="1" applyAlignment="1">
      <alignment horizontal="right" vertical="center"/>
    </xf>
    <xf numFmtId="0" fontId="36" fillId="0" borderId="17" xfId="1" applyFont="1" applyBorder="1" applyAlignment="1" applyProtection="1">
      <alignment horizontal="left" vertical="center"/>
      <protection locked="0"/>
    </xf>
    <xf numFmtId="0" fontId="36" fillId="0" borderId="9" xfId="1" applyFont="1" applyBorder="1" applyAlignment="1" applyProtection="1">
      <alignment horizontal="left" vertical="center"/>
      <protection locked="0"/>
    </xf>
    <xf numFmtId="0" fontId="36" fillId="0" borderId="123" xfId="1" applyFont="1" applyBorder="1" applyAlignment="1" applyProtection="1">
      <alignment horizontal="left" vertical="center"/>
      <protection locked="0"/>
    </xf>
    <xf numFmtId="0" fontId="29" fillId="0" borderId="127" xfId="1" applyFont="1" applyBorder="1" applyAlignment="1">
      <alignment horizontal="center" vertical="center"/>
    </xf>
    <xf numFmtId="0" fontId="29" fillId="0" borderId="128" xfId="1" applyFont="1" applyBorder="1" applyAlignment="1">
      <alignment horizontal="center" vertical="center"/>
    </xf>
    <xf numFmtId="5" fontId="38" fillId="0" borderId="129" xfId="3" applyNumberFormat="1" applyFont="1" applyBorder="1" applyAlignment="1">
      <alignment horizontal="right" vertical="center"/>
    </xf>
    <xf numFmtId="5" fontId="38" fillId="0" borderId="130" xfId="3" applyNumberFormat="1" applyFont="1" applyBorder="1" applyAlignment="1">
      <alignment horizontal="right" vertical="center"/>
    </xf>
    <xf numFmtId="0" fontId="32" fillId="0" borderId="0" xfId="1" applyFont="1" applyAlignment="1">
      <alignment horizontal="center" vertical="center"/>
    </xf>
    <xf numFmtId="0" fontId="1" fillId="0" borderId="1" xfId="1" applyBorder="1" applyAlignment="1">
      <alignment horizontal="center" vertical="center"/>
    </xf>
    <xf numFmtId="49" fontId="36" fillId="0" borderId="124" xfId="1" applyNumberFormat="1" applyFont="1" applyBorder="1" applyAlignment="1" applyProtection="1">
      <alignment horizontal="left" vertical="center" wrapText="1"/>
      <protection locked="0"/>
    </xf>
    <xf numFmtId="49" fontId="36" fillId="0" borderId="125" xfId="1" applyNumberFormat="1" applyFont="1" applyBorder="1" applyAlignment="1" applyProtection="1">
      <alignment horizontal="left" vertical="center" wrapText="1"/>
      <protection locked="0"/>
    </xf>
    <xf numFmtId="49" fontId="36" fillId="0" borderId="126" xfId="1" applyNumberFormat="1" applyFont="1" applyBorder="1" applyAlignment="1" applyProtection="1">
      <alignment horizontal="left" vertical="center" wrapText="1"/>
      <protection locked="0"/>
    </xf>
    <xf numFmtId="0" fontId="36" fillId="0" borderId="20" xfId="1" applyFont="1" applyBorder="1" applyAlignment="1" applyProtection="1">
      <alignment horizontal="left" vertical="center"/>
      <protection locked="0"/>
    </xf>
    <xf numFmtId="0" fontId="36" fillId="0" borderId="60" xfId="1" applyFont="1" applyBorder="1" applyAlignment="1" applyProtection="1">
      <alignment horizontal="left" vertical="center"/>
      <protection locked="0"/>
    </xf>
    <xf numFmtId="0" fontId="36" fillId="0" borderId="72" xfId="1" applyFont="1" applyBorder="1" applyAlignment="1" applyProtection="1">
      <alignment horizontal="left" vertical="center"/>
      <protection locked="0"/>
    </xf>
    <xf numFmtId="0" fontId="36" fillId="0" borderId="132" xfId="1" applyFont="1" applyBorder="1" applyAlignment="1" applyProtection="1">
      <alignment horizontal="left" vertical="center"/>
      <protection locked="0"/>
    </xf>
    <xf numFmtId="49" fontId="36" fillId="0" borderId="17" xfId="1" applyNumberFormat="1" applyFont="1" applyBorder="1" applyAlignment="1" applyProtection="1">
      <alignment horizontal="left" vertical="center" wrapText="1"/>
      <protection locked="0"/>
    </xf>
    <xf numFmtId="49" fontId="36" fillId="0" borderId="9" xfId="1" applyNumberFormat="1" applyFont="1" applyBorder="1" applyAlignment="1" applyProtection="1">
      <alignment horizontal="left" vertical="center" wrapText="1"/>
      <protection locked="0"/>
    </xf>
    <xf numFmtId="49" fontId="36" fillId="0" borderId="21" xfId="1" applyNumberFormat="1" applyFont="1" applyBorder="1" applyAlignment="1" applyProtection="1">
      <alignment horizontal="left" vertical="center" wrapText="1"/>
      <protection locked="0"/>
    </xf>
    <xf numFmtId="0" fontId="22" fillId="0" borderId="0" xfId="0" applyFont="1" applyAlignment="1">
      <alignment horizontal="left" vertical="center"/>
    </xf>
    <xf numFmtId="182" fontId="17" fillId="2" borderId="0" xfId="0" applyNumberFormat="1" applyFont="1" applyFill="1" applyAlignment="1" applyProtection="1">
      <alignment horizontal="left" vertical="center"/>
      <protection locked="0"/>
    </xf>
    <xf numFmtId="49" fontId="18" fillId="3" borderId="7" xfId="0" applyNumberFormat="1" applyFont="1" applyFill="1" applyBorder="1" applyAlignment="1">
      <alignment horizontal="center" vertical="center"/>
    </xf>
    <xf numFmtId="49" fontId="18" fillId="3" borderId="55" xfId="0" applyNumberFormat="1" applyFont="1" applyFill="1" applyBorder="1" applyAlignment="1">
      <alignment horizontal="center" vertical="center"/>
    </xf>
    <xf numFmtId="49" fontId="18" fillId="3" borderId="18" xfId="0" applyNumberFormat="1" applyFont="1" applyFill="1" applyBorder="1" applyAlignment="1">
      <alignment horizontal="center" vertical="center"/>
    </xf>
  </cellXfs>
  <cellStyles count="4">
    <cellStyle name="桁区切り 4" xfId="3" xr:uid="{CFE5A915-F18E-47DE-9A3E-5E14118C093C}"/>
    <cellStyle name="標準" xfId="0" builtinId="0"/>
    <cellStyle name="標準 2" xfId="2" xr:uid="{0892C3E7-F459-431D-8D7E-D465671DE315}"/>
    <cellStyle name="標準 4" xfId="1" xr:uid="{A15427FC-CD4E-48E4-A743-19D6C6344AA5}"/>
  </cellStyles>
  <dxfs count="9">
    <dxf>
      <font>
        <color theme="0"/>
      </font>
    </dxf>
    <dxf>
      <font>
        <color rgb="FFFF0000"/>
      </font>
    </dxf>
    <dxf>
      <font>
        <color theme="0" tint="-4.9989318521683403E-2"/>
      </font>
      <fill>
        <patternFill>
          <bgColor theme="0" tint="-0.24994659260841701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 patternType="solid">
          <bgColor rgb="FFCCFF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10</xdr:row>
      <xdr:rowOff>7620</xdr:rowOff>
    </xdr:from>
    <xdr:to>
      <xdr:col>21</xdr:col>
      <xdr:colOff>0</xdr:colOff>
      <xdr:row>12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36B3A095-5A8C-41AD-912C-6EB76CA8435F}"/>
            </a:ext>
          </a:extLst>
        </xdr:cNvPr>
        <xdr:cNvCxnSpPr/>
      </xdr:nvCxnSpPr>
      <xdr:spPr>
        <a:xfrm flipH="1">
          <a:off x="5505450" y="2333625"/>
          <a:ext cx="409575" cy="447675"/>
        </a:xfrm>
        <a:prstGeom prst="line">
          <a:avLst/>
        </a:prstGeom>
        <a:ln w="31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10</xdr:row>
      <xdr:rowOff>7620</xdr:rowOff>
    </xdr:from>
    <xdr:to>
      <xdr:col>21</xdr:col>
      <xdr:colOff>0</xdr:colOff>
      <xdr:row>12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5346FA40-4D95-457D-9115-8A0782CFBA68}"/>
            </a:ext>
          </a:extLst>
        </xdr:cNvPr>
        <xdr:cNvCxnSpPr/>
      </xdr:nvCxnSpPr>
      <xdr:spPr>
        <a:xfrm flipH="1">
          <a:off x="5505450" y="2333625"/>
          <a:ext cx="409575" cy="447675"/>
        </a:xfrm>
        <a:prstGeom prst="line">
          <a:avLst/>
        </a:prstGeom>
        <a:ln w="31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@202110_&#20316;&#26989;&#22577;&#21578;&#26360;_20509_&#21271;&#24029;&#24505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4.92\private\&#9679;&#25216;&#34899;&#37096;2&#35506;&#20849;&#29992;\&#9632;&#31038;&#20869;&#20316;&#26989;&#22577;&#21578;&#26360;\202101_&#20316;&#26989;&#22577;&#21578;&#26360;_20509_&#21271;&#24029;&#2450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作業報告書"/>
      <sheetName val="外出交通費精算明細書 (3段)"/>
      <sheetName val="外出交通費精算明細書 (4段)"/>
      <sheetName val="祝日"/>
      <sheetName val="改版履歴"/>
    </sheetNames>
    <sheetDataSet>
      <sheetData sheetId="0"/>
      <sheetData sheetId="1"/>
      <sheetData sheetId="2"/>
      <sheetData sheetId="3">
        <row r="5">
          <cell r="F5">
            <v>44315</v>
          </cell>
        </row>
        <row r="6">
          <cell r="F6">
            <v>44317</v>
          </cell>
        </row>
        <row r="7">
          <cell r="F7">
            <v>44319</v>
          </cell>
        </row>
        <row r="8">
          <cell r="F8">
            <v>44320</v>
          </cell>
        </row>
        <row r="9">
          <cell r="F9">
            <v>44321</v>
          </cell>
        </row>
        <row r="10">
          <cell r="F10">
            <v>44399</v>
          </cell>
        </row>
        <row r="11">
          <cell r="F11">
            <v>44400</v>
          </cell>
        </row>
        <row r="12">
          <cell r="F12">
            <v>44416</v>
          </cell>
        </row>
        <row r="13">
          <cell r="F13">
            <v>44417</v>
          </cell>
        </row>
        <row r="14">
          <cell r="F14">
            <v>44418</v>
          </cell>
        </row>
        <row r="15">
          <cell r="F15">
            <v>44419</v>
          </cell>
        </row>
        <row r="16">
          <cell r="F16">
            <v>44420</v>
          </cell>
        </row>
        <row r="17">
          <cell r="F17">
            <v>44459</v>
          </cell>
        </row>
        <row r="18">
          <cell r="F18">
            <v>44462</v>
          </cell>
        </row>
        <row r="19">
          <cell r="F19">
            <v>44503</v>
          </cell>
        </row>
        <row r="20">
          <cell r="F20">
            <v>44523</v>
          </cell>
        </row>
        <row r="21">
          <cell r="F21">
            <v>44560</v>
          </cell>
        </row>
        <row r="22">
          <cell r="F22">
            <v>44561</v>
          </cell>
        </row>
        <row r="23">
          <cell r="F23">
            <v>44197</v>
          </cell>
        </row>
        <row r="24">
          <cell r="F24">
            <v>44199</v>
          </cell>
        </row>
        <row r="25">
          <cell r="F25">
            <v>44238</v>
          </cell>
        </row>
        <row r="26">
          <cell r="F26">
            <v>44250</v>
          </cell>
        </row>
        <row r="27">
          <cell r="F27">
            <v>44276</v>
          </cell>
        </row>
        <row r="28">
          <cell r="F28">
            <v>44165</v>
          </cell>
        </row>
        <row r="29">
          <cell r="F29">
            <v>44165</v>
          </cell>
        </row>
        <row r="30">
          <cell r="F30">
            <v>44165</v>
          </cell>
        </row>
        <row r="31">
          <cell r="F31">
            <v>44165</v>
          </cell>
        </row>
        <row r="32">
          <cell r="F32">
            <v>44165</v>
          </cell>
        </row>
        <row r="33">
          <cell r="F33">
            <v>44165</v>
          </cell>
        </row>
        <row r="34">
          <cell r="F34">
            <v>44165</v>
          </cell>
        </row>
        <row r="35">
          <cell r="F35">
            <v>44165</v>
          </cell>
        </row>
        <row r="36">
          <cell r="F36">
            <v>44165</v>
          </cell>
        </row>
        <row r="37">
          <cell r="F37">
            <v>44165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作業報告書"/>
      <sheetName val="祝日"/>
      <sheetName val="外出交通費精算明細書 (3段)"/>
      <sheetName val="外出交通費精算明細書 (4段)"/>
    </sheetNames>
    <sheetDataSet>
      <sheetData sheetId="0"/>
      <sheetData sheetId="1">
        <row r="5">
          <cell r="F5">
            <v>44315</v>
          </cell>
        </row>
        <row r="6">
          <cell r="F6">
            <v>44317</v>
          </cell>
        </row>
        <row r="7">
          <cell r="F7">
            <v>44319</v>
          </cell>
        </row>
        <row r="8">
          <cell r="F8">
            <v>44320</v>
          </cell>
        </row>
        <row r="9">
          <cell r="F9">
            <v>44321</v>
          </cell>
        </row>
        <row r="10">
          <cell r="F10">
            <v>44322</v>
          </cell>
        </row>
        <row r="11">
          <cell r="F11">
            <v>44400</v>
          </cell>
        </row>
        <row r="12">
          <cell r="F12">
            <v>44401</v>
          </cell>
        </row>
        <row r="13">
          <cell r="F13">
            <v>44418</v>
          </cell>
        </row>
        <row r="14">
          <cell r="F14">
            <v>44419</v>
          </cell>
        </row>
        <row r="15">
          <cell r="F15">
            <v>44420</v>
          </cell>
        </row>
        <row r="16">
          <cell r="F16">
            <v>44421</v>
          </cell>
        </row>
        <row r="17">
          <cell r="F17">
            <v>44460</v>
          </cell>
        </row>
        <row r="18">
          <cell r="F18">
            <v>44461</v>
          </cell>
        </row>
        <row r="19">
          <cell r="F19">
            <v>44503</v>
          </cell>
        </row>
        <row r="20">
          <cell r="F20">
            <v>44523</v>
          </cell>
        </row>
        <row r="21">
          <cell r="F21">
            <v>44560</v>
          </cell>
        </row>
        <row r="22">
          <cell r="F22">
            <v>44561</v>
          </cell>
        </row>
        <row r="23">
          <cell r="F23">
            <v>44197</v>
          </cell>
        </row>
        <row r="24">
          <cell r="F24">
            <v>44207</v>
          </cell>
        </row>
        <row r="25">
          <cell r="F25">
            <v>44238</v>
          </cell>
        </row>
        <row r="26">
          <cell r="F26">
            <v>44250</v>
          </cell>
        </row>
        <row r="27">
          <cell r="F27">
            <v>44275</v>
          </cell>
        </row>
        <row r="28">
          <cell r="F28">
            <v>44165</v>
          </cell>
        </row>
        <row r="29">
          <cell r="F29">
            <v>44165</v>
          </cell>
        </row>
        <row r="30">
          <cell r="F30">
            <v>44165</v>
          </cell>
        </row>
        <row r="31">
          <cell r="F31">
            <v>44165</v>
          </cell>
        </row>
        <row r="32">
          <cell r="F32">
            <v>44165</v>
          </cell>
        </row>
        <row r="33">
          <cell r="F33">
            <v>44165</v>
          </cell>
        </row>
        <row r="34">
          <cell r="F34">
            <v>44165</v>
          </cell>
        </row>
        <row r="35">
          <cell r="F35">
            <v>44165</v>
          </cell>
        </row>
        <row r="36">
          <cell r="F36">
            <v>44165</v>
          </cell>
        </row>
        <row r="37">
          <cell r="F37">
            <v>44165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AN149"/>
  <sheetViews>
    <sheetView tabSelected="1" zoomScale="85" zoomScaleNormal="85" zoomScaleSheetLayoutView="85" workbookViewId="0">
      <pane ySplit="13" topLeftCell="A14" activePane="bottomLeft" state="frozen"/>
      <selection pane="bottomLeft"/>
    </sheetView>
  </sheetViews>
  <sheetFormatPr defaultColWidth="9.109375" defaultRowHeight="13.2" x14ac:dyDescent="0.2"/>
  <cols>
    <col min="1" max="1" width="24.6640625" style="1" customWidth="1"/>
    <col min="2" max="32" width="5.33203125" style="1" customWidth="1"/>
    <col min="33" max="33" width="1.33203125" style="1" hidden="1" customWidth="1"/>
    <col min="34" max="36" width="11.44140625" style="2" customWidth="1"/>
    <col min="37" max="37" width="14.109375" style="2" customWidth="1"/>
    <col min="38" max="38" width="14.5546875" style="1" customWidth="1"/>
    <col min="39" max="39" width="15" style="1" customWidth="1"/>
    <col min="40" max="40" width="42" style="1" customWidth="1"/>
    <col min="41" max="41" width="10.33203125" style="1" customWidth="1"/>
    <col min="42" max="16384" width="9.109375" style="1"/>
  </cols>
  <sheetData>
    <row r="1" spans="1:40" ht="17.25" customHeight="1" thickTop="1" thickBot="1" x14ac:dyDescent="0.25">
      <c r="C1" s="14" t="s">
        <v>12</v>
      </c>
      <c r="D1" s="16">
        <v>4</v>
      </c>
      <c r="E1" s="14" t="s">
        <v>4</v>
      </c>
      <c r="F1" s="147">
        <v>5</v>
      </c>
      <c r="G1" s="15" t="s">
        <v>5</v>
      </c>
      <c r="H1" s="7"/>
      <c r="I1" s="7"/>
      <c r="J1" s="7"/>
      <c r="K1" s="7"/>
      <c r="L1" s="7"/>
      <c r="M1" s="7"/>
      <c r="N1" s="214" t="s">
        <v>8</v>
      </c>
      <c r="O1" s="214"/>
      <c r="P1" s="214"/>
      <c r="Q1" s="214"/>
      <c r="R1" s="214"/>
      <c r="S1" s="214"/>
      <c r="T1" s="11"/>
      <c r="U1" s="11"/>
      <c r="V1" s="285" t="s">
        <v>17</v>
      </c>
      <c r="W1" s="285"/>
      <c r="X1" s="285"/>
      <c r="Y1" s="285"/>
      <c r="Z1" s="286"/>
      <c r="AA1" s="275" t="s">
        <v>46</v>
      </c>
      <c r="AB1" s="276"/>
      <c r="AC1" s="276"/>
      <c r="AD1" s="276"/>
      <c r="AE1" s="276"/>
      <c r="AF1" s="277"/>
      <c r="AH1" s="5"/>
      <c r="AI1" s="5"/>
      <c r="AJ1" s="5"/>
      <c r="AK1" s="5"/>
      <c r="AN1" s="39" t="s">
        <v>134</v>
      </c>
    </row>
    <row r="2" spans="1:40" ht="17.25" customHeight="1" thickTop="1" thickBot="1" x14ac:dyDescent="0.25">
      <c r="C2" s="212" t="s">
        <v>9</v>
      </c>
      <c r="D2" s="210" t="s">
        <v>18</v>
      </c>
      <c r="E2" s="211"/>
      <c r="F2" s="206">
        <f>SUM(B118:AF118)</f>
        <v>152</v>
      </c>
      <c r="G2" s="207"/>
      <c r="H2" s="26" t="s">
        <v>20</v>
      </c>
      <c r="I2" s="7"/>
      <c r="J2" s="7"/>
      <c r="K2" s="7"/>
      <c r="L2" s="7"/>
      <c r="M2" s="7"/>
      <c r="N2" s="214"/>
      <c r="O2" s="214"/>
      <c r="P2" s="214"/>
      <c r="Q2" s="214"/>
      <c r="R2" s="214"/>
      <c r="S2" s="214"/>
      <c r="T2" s="67"/>
      <c r="U2" s="67"/>
      <c r="V2" s="67"/>
      <c r="W2" s="280" t="s">
        <v>15</v>
      </c>
      <c r="X2" s="280"/>
      <c r="Y2" s="280"/>
      <c r="Z2" s="67"/>
      <c r="AA2" s="284" t="s">
        <v>16</v>
      </c>
      <c r="AB2" s="284"/>
      <c r="AC2" s="284"/>
      <c r="AD2" s="284"/>
      <c r="AE2" s="284"/>
      <c r="AF2" s="284"/>
      <c r="AH2" s="1"/>
      <c r="AI2" s="289" t="s">
        <v>117</v>
      </c>
      <c r="AJ2" s="289"/>
      <c r="AK2" s="1"/>
    </row>
    <row r="3" spans="1:40" ht="17.25" customHeight="1" thickTop="1" thickBot="1" x14ac:dyDescent="0.25">
      <c r="C3" s="213"/>
      <c r="D3" s="208" t="s">
        <v>19</v>
      </c>
      <c r="E3" s="209"/>
      <c r="F3" s="206">
        <f>AH6</f>
        <v>16</v>
      </c>
      <c r="G3" s="207"/>
      <c r="H3" s="26" t="s">
        <v>20</v>
      </c>
      <c r="I3" s="7"/>
      <c r="J3" s="7"/>
      <c r="K3" s="7"/>
      <c r="L3" s="7"/>
      <c r="M3" s="11"/>
      <c r="N3" s="13"/>
      <c r="O3" s="13"/>
      <c r="P3" s="13"/>
      <c r="Q3" s="13"/>
      <c r="R3" s="13"/>
      <c r="S3" s="13"/>
      <c r="T3" s="68"/>
      <c r="U3" s="68"/>
      <c r="V3" s="69"/>
      <c r="W3" s="281">
        <v>21912</v>
      </c>
      <c r="X3" s="282"/>
      <c r="Y3" s="283"/>
      <c r="Z3" s="68"/>
      <c r="AA3" s="281" t="s">
        <v>178</v>
      </c>
      <c r="AB3" s="282"/>
      <c r="AC3" s="282"/>
      <c r="AD3" s="282"/>
      <c r="AE3" s="282"/>
      <c r="AF3" s="283"/>
      <c r="AH3" s="1"/>
      <c r="AI3" s="290" t="s">
        <v>177</v>
      </c>
      <c r="AJ3" s="291"/>
      <c r="AK3" s="1"/>
    </row>
    <row r="4" spans="1:40" ht="11.25" customHeight="1" thickTop="1" x14ac:dyDescent="0.2">
      <c r="A4" s="4"/>
      <c r="B4" s="8"/>
      <c r="C4" s="8"/>
      <c r="D4" s="8"/>
      <c r="E4" s="8"/>
      <c r="F4" s="8"/>
      <c r="G4" s="8"/>
      <c r="H4" s="8"/>
      <c r="I4" s="8"/>
      <c r="J4" s="8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9"/>
      <c r="X4" s="9"/>
      <c r="Y4" s="9"/>
      <c r="Z4" s="9"/>
      <c r="AA4" s="9"/>
      <c r="AB4" s="9"/>
      <c r="AC4" s="9"/>
      <c r="AD4" s="9"/>
      <c r="AE4" s="9"/>
      <c r="AF4" s="9"/>
      <c r="AH4" s="3"/>
      <c r="AI4" s="18"/>
      <c r="AJ4" s="18"/>
      <c r="AK4" s="18"/>
    </row>
    <row r="5" spans="1:40" x14ac:dyDescent="0.2">
      <c r="A5" s="29"/>
      <c r="B5" s="10">
        <f>A118</f>
        <v>44682</v>
      </c>
      <c r="C5" s="10">
        <f>B5+1</f>
        <v>44683</v>
      </c>
      <c r="D5" s="10">
        <f t="shared" ref="D5:AF5" si="0">C5+1</f>
        <v>44684</v>
      </c>
      <c r="E5" s="10">
        <f t="shared" si="0"/>
        <v>44685</v>
      </c>
      <c r="F5" s="10">
        <f t="shared" si="0"/>
        <v>44686</v>
      </c>
      <c r="G5" s="10">
        <f t="shared" si="0"/>
        <v>44687</v>
      </c>
      <c r="H5" s="10">
        <f t="shared" si="0"/>
        <v>44688</v>
      </c>
      <c r="I5" s="10">
        <f t="shared" si="0"/>
        <v>44689</v>
      </c>
      <c r="J5" s="10">
        <f t="shared" si="0"/>
        <v>44690</v>
      </c>
      <c r="K5" s="10">
        <f t="shared" si="0"/>
        <v>44691</v>
      </c>
      <c r="L5" s="10">
        <f t="shared" si="0"/>
        <v>44692</v>
      </c>
      <c r="M5" s="10">
        <f t="shared" si="0"/>
        <v>44693</v>
      </c>
      <c r="N5" s="10">
        <f t="shared" si="0"/>
        <v>44694</v>
      </c>
      <c r="O5" s="10">
        <f t="shared" si="0"/>
        <v>44695</v>
      </c>
      <c r="P5" s="10">
        <f t="shared" si="0"/>
        <v>44696</v>
      </c>
      <c r="Q5" s="10">
        <f t="shared" si="0"/>
        <v>44697</v>
      </c>
      <c r="R5" s="10">
        <f t="shared" si="0"/>
        <v>44698</v>
      </c>
      <c r="S5" s="10">
        <f t="shared" si="0"/>
        <v>44699</v>
      </c>
      <c r="T5" s="10">
        <f t="shared" si="0"/>
        <v>44700</v>
      </c>
      <c r="U5" s="10">
        <f t="shared" si="0"/>
        <v>44701</v>
      </c>
      <c r="V5" s="10">
        <f t="shared" si="0"/>
        <v>44702</v>
      </c>
      <c r="W5" s="10">
        <f t="shared" si="0"/>
        <v>44703</v>
      </c>
      <c r="X5" s="10">
        <f t="shared" si="0"/>
        <v>44704</v>
      </c>
      <c r="Y5" s="10">
        <f t="shared" si="0"/>
        <v>44705</v>
      </c>
      <c r="Z5" s="10">
        <f t="shared" si="0"/>
        <v>44706</v>
      </c>
      <c r="AA5" s="10">
        <f t="shared" si="0"/>
        <v>44707</v>
      </c>
      <c r="AB5" s="10">
        <f t="shared" si="0"/>
        <v>44708</v>
      </c>
      <c r="AC5" s="10">
        <f t="shared" si="0"/>
        <v>44709</v>
      </c>
      <c r="AD5" s="10">
        <f>AC5+1</f>
        <v>44710</v>
      </c>
      <c r="AE5" s="10">
        <f t="shared" si="0"/>
        <v>44711</v>
      </c>
      <c r="AF5" s="23">
        <f t="shared" si="0"/>
        <v>44712</v>
      </c>
      <c r="AH5" s="34" t="s">
        <v>21</v>
      </c>
      <c r="AI5" s="123"/>
      <c r="AJ5" s="123"/>
      <c r="AK5" s="142" t="s">
        <v>82</v>
      </c>
      <c r="AL5" s="148" t="s">
        <v>83</v>
      </c>
      <c r="AM5" s="149" t="s">
        <v>84</v>
      </c>
      <c r="AN5" s="21"/>
    </row>
    <row r="6" spans="1:40" x14ac:dyDescent="0.2">
      <c r="A6" s="30" t="s">
        <v>36</v>
      </c>
      <c r="B6" s="71">
        <f t="shared" ref="B6:AF6" si="1">SUM(B14)+SUM(B18:B117)</f>
        <v>0</v>
      </c>
      <c r="C6" s="71">
        <f t="shared" si="1"/>
        <v>8</v>
      </c>
      <c r="D6" s="71">
        <f t="shared" si="1"/>
        <v>0</v>
      </c>
      <c r="E6" s="71">
        <f t="shared" si="1"/>
        <v>0</v>
      </c>
      <c r="F6" s="71">
        <f t="shared" si="1"/>
        <v>0</v>
      </c>
      <c r="G6" s="71">
        <f t="shared" si="1"/>
        <v>8</v>
      </c>
      <c r="H6" s="71">
        <f t="shared" si="1"/>
        <v>0</v>
      </c>
      <c r="I6" s="71">
        <f t="shared" si="1"/>
        <v>0</v>
      </c>
      <c r="J6" s="71">
        <f t="shared" si="1"/>
        <v>0</v>
      </c>
      <c r="K6" s="71">
        <f t="shared" si="1"/>
        <v>0</v>
      </c>
      <c r="L6" s="71">
        <f t="shared" si="1"/>
        <v>0</v>
      </c>
      <c r="M6" s="71">
        <f t="shared" si="1"/>
        <v>0</v>
      </c>
      <c r="N6" s="71">
        <f t="shared" si="1"/>
        <v>0</v>
      </c>
      <c r="O6" s="71">
        <f t="shared" si="1"/>
        <v>0</v>
      </c>
      <c r="P6" s="71">
        <f t="shared" si="1"/>
        <v>0</v>
      </c>
      <c r="Q6" s="71">
        <f t="shared" si="1"/>
        <v>0</v>
      </c>
      <c r="R6" s="71">
        <f t="shared" si="1"/>
        <v>0</v>
      </c>
      <c r="S6" s="71">
        <f t="shared" si="1"/>
        <v>0</v>
      </c>
      <c r="T6" s="71">
        <f t="shared" si="1"/>
        <v>0</v>
      </c>
      <c r="U6" s="71">
        <f t="shared" si="1"/>
        <v>0</v>
      </c>
      <c r="V6" s="71">
        <f t="shared" si="1"/>
        <v>0</v>
      </c>
      <c r="W6" s="71">
        <f t="shared" si="1"/>
        <v>0</v>
      </c>
      <c r="X6" s="71">
        <f t="shared" si="1"/>
        <v>0</v>
      </c>
      <c r="Y6" s="71">
        <f t="shared" si="1"/>
        <v>0</v>
      </c>
      <c r="Z6" s="71">
        <f t="shared" si="1"/>
        <v>0</v>
      </c>
      <c r="AA6" s="71">
        <f t="shared" si="1"/>
        <v>0</v>
      </c>
      <c r="AB6" s="71">
        <f t="shared" si="1"/>
        <v>0</v>
      </c>
      <c r="AC6" s="71">
        <f t="shared" si="1"/>
        <v>0</v>
      </c>
      <c r="AD6" s="71">
        <f t="shared" si="1"/>
        <v>0</v>
      </c>
      <c r="AE6" s="71">
        <f t="shared" si="1"/>
        <v>0</v>
      </c>
      <c r="AF6" s="71">
        <f t="shared" si="1"/>
        <v>0</v>
      </c>
      <c r="AH6" s="32">
        <f>SUM(B6:AF6)</f>
        <v>16</v>
      </c>
      <c r="AI6" s="120"/>
      <c r="AJ6" s="120"/>
      <c r="AK6" s="32">
        <f>AH7</f>
        <v>0</v>
      </c>
      <c r="AL6" s="150">
        <f>AH8</f>
        <v>0</v>
      </c>
      <c r="AM6" s="150">
        <f>AH9</f>
        <v>0</v>
      </c>
      <c r="AN6" s="18"/>
    </row>
    <row r="7" spans="1:40" ht="13.8" thickBot="1" x14ac:dyDescent="0.25">
      <c r="A7" s="31" t="s">
        <v>3</v>
      </c>
      <c r="B7" s="152">
        <f>IF( MONTH(B5) &lt;&gt; MONTH($A118), 0, IF( OR(WEEKDAY(B5,1)=1, WEEKDAY(B5,1)=7, IF( ISERROR(MATCH(B5, 祝日!$B$5:$B$39, 0)), 0, 1)&gt;0), 0, B6 - B118))</f>
        <v>0</v>
      </c>
      <c r="C7" s="141">
        <f>IF( MONTH(C5) &lt;&gt; MONTH($A118), 0, IF( OR(WEEKDAY(C5,1)=1, WEEKDAY(C5,1)=7, IF( ISERROR(MATCH(C5, 祝日!$B$5:$B$39, 0)), 0, 1)&gt;0), 0, C6 - C118))</f>
        <v>0</v>
      </c>
      <c r="D7" s="141">
        <f>IF( MONTH(D5) &lt;&gt; MONTH($A118), 0, IF( OR(WEEKDAY(D5,1)=1, WEEKDAY(D5,1)=7, IF( ISERROR(MATCH(D5, 祝日!$B$5:$B$39, 0)), 0, 1)&gt;0), 0, D6 - D118))</f>
        <v>0</v>
      </c>
      <c r="E7" s="141">
        <f>IF( MONTH(E5) &lt;&gt; MONTH($A118), 0, IF( OR(WEEKDAY(E5,1)=1, WEEKDAY(E5,1)=7, IF( ISERROR(MATCH(E5, 祝日!$B$5:$B$39, 0)), 0, 1)&gt;0), 0, E6 - E118))</f>
        <v>0</v>
      </c>
      <c r="F7" s="141">
        <f>IF( MONTH(F5) &lt;&gt; MONTH($A118), 0, IF( OR(WEEKDAY(F5,1)=1, WEEKDAY(F5,1)=7, IF( ISERROR(MATCH(F5, 祝日!$B$5:$B$39, 0)), 0, 1)&gt;0), 0, F6 - F118))</f>
        <v>0</v>
      </c>
      <c r="G7" s="141">
        <f>IF( MONTH(G5) &lt;&gt; MONTH($A118), 0, IF( OR(WEEKDAY(G5,1)=1, WEEKDAY(G5,1)=7, IF( ISERROR(MATCH(G5, 祝日!$B$5:$B$39, 0)), 0, 1)&gt;0), 0, G6 - G118))</f>
        <v>0</v>
      </c>
      <c r="H7" s="141">
        <f>IF( MONTH(H5) &lt;&gt; MONTH($A118), 0, IF( OR(WEEKDAY(H5,1)=1, WEEKDAY(H5,1)=7, IF( ISERROR(MATCH(H5, 祝日!$B$5:$B$39, 0)), 0, 1)&gt;0), 0, H6 - H118))</f>
        <v>0</v>
      </c>
      <c r="I7" s="141">
        <f>IF( MONTH(I5) &lt;&gt; MONTH($A118), 0, IF( OR(WEEKDAY(I5,1)=1, WEEKDAY(I5,1)=7, IF( ISERROR(MATCH(I5, 祝日!$B$5:$B$39, 0)), 0, 1)&gt;0), 0, I6 - I118))</f>
        <v>0</v>
      </c>
      <c r="J7" s="141">
        <f>IF( MONTH(J5) &lt;&gt; MONTH($A118), 0, IF( OR(WEEKDAY(J5,1)=1, WEEKDAY(J5,1)=7, IF( ISERROR(MATCH(J5, 祝日!$B$5:$B$39, 0)), 0, 1)&gt;0), 0, J6 - J118))</f>
        <v>-8</v>
      </c>
      <c r="K7" s="141">
        <f>IF( MONTH(K5) &lt;&gt; MONTH($A118), 0, IF( OR(WEEKDAY(K5,1)=1, WEEKDAY(K5,1)=7, IF( ISERROR(MATCH(K5, 祝日!$B$5:$B$39, 0)), 0, 1)&gt;0), 0, K6 - K118))</f>
        <v>-8</v>
      </c>
      <c r="L7" s="141">
        <f>IF( MONTH(L5) &lt;&gt; MONTH($A118), 0, IF( OR(WEEKDAY(L5,1)=1, WEEKDAY(L5,1)=7, IF( ISERROR(MATCH(L5, 祝日!$B$5:$B$39, 0)), 0, 1)&gt;0), 0, L6 - L118))</f>
        <v>-8</v>
      </c>
      <c r="M7" s="141">
        <f>IF( MONTH(M5) &lt;&gt; MONTH($A118), 0, IF( OR(WEEKDAY(M5,1)=1, WEEKDAY(M5,1)=7, IF( ISERROR(MATCH(M5, 祝日!$B$5:$B$39, 0)), 0, 1)&gt;0), 0, M6 - M118))</f>
        <v>-8</v>
      </c>
      <c r="N7" s="141">
        <f>IF( MONTH(N5) &lt;&gt; MONTH($A118), 0, IF( OR(WEEKDAY(N5,1)=1, WEEKDAY(N5,1)=7, IF( ISERROR(MATCH(N5, 祝日!$B$5:$B$39, 0)), 0, 1)&gt;0), 0, N6 - N118))</f>
        <v>-8</v>
      </c>
      <c r="O7" s="141">
        <f>IF( MONTH(O5) &lt;&gt; MONTH($A118), 0, IF( OR(WEEKDAY(O5,1)=1, WEEKDAY(O5,1)=7, IF( ISERROR(MATCH(O5, 祝日!$B$5:$B$39, 0)), 0, 1)&gt;0), 0, O6 - O118))</f>
        <v>0</v>
      </c>
      <c r="P7" s="141">
        <f>IF( MONTH(P5) &lt;&gt; MONTH($A118), 0, IF( OR(WEEKDAY(P5,1)=1, WEEKDAY(P5,1)=7, IF( ISERROR(MATCH(P5, 祝日!$B$5:$B$39, 0)), 0, 1)&gt;0), 0, P6 - P118))</f>
        <v>0</v>
      </c>
      <c r="Q7" s="141">
        <f>IF( MONTH(Q5) &lt;&gt; MONTH($A118), 0, IF( OR(WEEKDAY(Q5,1)=1, WEEKDAY(Q5,1)=7, IF( ISERROR(MATCH(Q5, 祝日!$B$5:$B$39, 0)), 0, 1)&gt;0), 0, Q6 - Q118))</f>
        <v>-8</v>
      </c>
      <c r="R7" s="141">
        <f>IF( MONTH(R5) &lt;&gt; MONTH($A118), 0, IF( OR(WEEKDAY(R5,1)=1, WEEKDAY(R5,1)=7, IF( ISERROR(MATCH(R5, 祝日!$B$5:$B$39, 0)), 0, 1)&gt;0), 0, R6 - R118))</f>
        <v>-8</v>
      </c>
      <c r="S7" s="141">
        <f>IF( MONTH(S5) &lt;&gt; MONTH($A118), 0, IF( OR(WEEKDAY(S5,1)=1, WEEKDAY(S5,1)=7, IF( ISERROR(MATCH(S5, 祝日!$B$5:$B$39, 0)), 0, 1)&gt;0), 0, S6 - S118))</f>
        <v>-8</v>
      </c>
      <c r="T7" s="141">
        <f>IF( MONTH(T5) &lt;&gt; MONTH($A118), 0, IF( OR(WEEKDAY(T5,1)=1, WEEKDAY(T5,1)=7, IF( ISERROR(MATCH(T5, 祝日!$B$5:$B$39, 0)), 0, 1)&gt;0), 0, T6 - T118))</f>
        <v>-8</v>
      </c>
      <c r="U7" s="141">
        <f>IF( MONTH(U5) &lt;&gt; MONTH($A118), 0, IF( OR(WEEKDAY(U5,1)=1, WEEKDAY(U5,1)=7, IF( ISERROR(MATCH(U5, 祝日!$B$5:$B$39, 0)), 0, 1)&gt;0), 0, U6 - U118))</f>
        <v>-8</v>
      </c>
      <c r="V7" s="141">
        <f>IF( MONTH(V5) &lt;&gt; MONTH($A118), 0, IF( OR(WEEKDAY(V5,1)=1, WEEKDAY(V5,1)=7, IF( ISERROR(MATCH(V5, 祝日!$B$5:$B$39, 0)), 0, 1)&gt;0), 0, V6 - V118))</f>
        <v>0</v>
      </c>
      <c r="W7" s="141">
        <f>IF( MONTH(W5) &lt;&gt; MONTH($A118), 0, IF( OR(WEEKDAY(W5,1)=1, WEEKDAY(W5,1)=7, IF( ISERROR(MATCH(W5, 祝日!$B$5:$B$39, 0)), 0, 1)&gt;0), 0, W6 - W118))</f>
        <v>0</v>
      </c>
      <c r="X7" s="141">
        <f>IF( MONTH(X5) &lt;&gt; MONTH($A118), 0, IF( OR(WEEKDAY(X5,1)=1, WEEKDAY(X5,1)=7, IF( ISERROR(MATCH(X5, 祝日!$B$5:$B$39, 0)), 0, 1)&gt;0), 0, X6 - X118))</f>
        <v>-8</v>
      </c>
      <c r="Y7" s="141">
        <f>IF( MONTH(Y5) &lt;&gt; MONTH($A118), 0, IF( OR(WEEKDAY(Y5,1)=1, WEEKDAY(Y5,1)=7, IF( ISERROR(MATCH(Y5, 祝日!$B$5:$B$39, 0)), 0, 1)&gt;0), 0, Y6 - Y118))</f>
        <v>-8</v>
      </c>
      <c r="Z7" s="141">
        <f>IF( MONTH(Z5) &lt;&gt; MONTH($A118), 0, IF( OR(WEEKDAY(Z5,1)=1, WEEKDAY(Z5,1)=7, IF( ISERROR(MATCH(Z5, 祝日!$B$5:$B$39, 0)), 0, 1)&gt;0), 0, Z6 - Z118))</f>
        <v>-8</v>
      </c>
      <c r="AA7" s="141">
        <f>IF( MONTH(AA5) &lt;&gt; MONTH($A118), 0, IF( OR(WEEKDAY(AA5,1)=1, WEEKDAY(AA5,1)=7, IF( ISERROR(MATCH(AA5, 祝日!$B$5:$B$39, 0)), 0, 1)&gt;0), 0, AA6 - AA118))</f>
        <v>-8</v>
      </c>
      <c r="AB7" s="141">
        <f>IF( MONTH(AB5) &lt;&gt; MONTH($A118), 0, IF( OR(WEEKDAY(AB5,1)=1, WEEKDAY(AB5,1)=7, IF( ISERROR(MATCH(AB5, 祝日!$B$5:$B$39, 0)), 0, 1)&gt;0), 0, AB6 - AB118))</f>
        <v>-8</v>
      </c>
      <c r="AC7" s="141">
        <f>IF( MONTH(AC5) &lt;&gt; MONTH($A118), 0, IF( OR(WEEKDAY(AC5,1)=1, WEEKDAY(AC5,1)=7, IF( ISERROR(MATCH(AC5, 祝日!$B$5:$B$39, 0)), 0, 1)&gt;0), 0, AC6 - AC118))</f>
        <v>0</v>
      </c>
      <c r="AD7" s="141">
        <f>IF( MONTH(AD5) &lt;&gt; MONTH($A118), 0, IF( OR(WEEKDAY(AD5,1)=1, WEEKDAY(AD5,1)=7, IF( ISERROR(MATCH(AD5, 祝日!$B$5:$B$39, 0)), 0, 1)&gt;0), 0, AD6 - AD118))</f>
        <v>0</v>
      </c>
      <c r="AE7" s="141">
        <f>IF( MONTH(AE5) &lt;&gt; MONTH($A118), 0, IF( OR(WEEKDAY(AE5,1)=1, WEEKDAY(AE5,1)=7, IF( ISERROR(MATCH(AE5, 祝日!$B$5:$B$39, 0)), 0, 1)&gt;0), 0, AE6 - AE118))</f>
        <v>-8</v>
      </c>
      <c r="AF7" s="153">
        <f>AF6-AF118</f>
        <v>-8</v>
      </c>
      <c r="AH7" s="35">
        <f>SUMIFS(B7:AF7,B7:AF7,"&gt;=0")</f>
        <v>0</v>
      </c>
      <c r="AI7" s="121"/>
      <c r="AJ7" s="121"/>
      <c r="AK7" s="121"/>
      <c r="AM7" s="22"/>
      <c r="AN7" s="18"/>
    </row>
    <row r="8" spans="1:40" ht="14.4" thickTop="1" thickBot="1" x14ac:dyDescent="0.25">
      <c r="A8" s="151" t="s">
        <v>115</v>
      </c>
      <c r="B8" s="154">
        <f>IF(U139 &gt; B7, 0, B7 - U139)</f>
        <v>0</v>
      </c>
      <c r="C8" s="155">
        <f>IF(U139 &gt; C7, 0, C7 - U139)</f>
        <v>0</v>
      </c>
      <c r="D8" s="155">
        <f>IF(U139 &gt; D7, 0, D7 - U139)</f>
        <v>0</v>
      </c>
      <c r="E8" s="155">
        <f>IF(U139 &gt; E7, 0, E7 - U139)</f>
        <v>0</v>
      </c>
      <c r="F8" s="155">
        <f>IF(U139 &gt; F7, 0, F7 - U139)</f>
        <v>0</v>
      </c>
      <c r="G8" s="155">
        <f>IF(U139 &gt; G7, 0, G7 - U139)</f>
        <v>0</v>
      </c>
      <c r="H8" s="155">
        <f>IF(U139 &gt; H7, 0, H7 - U139)</f>
        <v>0</v>
      </c>
      <c r="I8" s="155">
        <f>IF(U139 &gt; I7, 0, I7 - U139)</f>
        <v>0</v>
      </c>
      <c r="J8" s="155">
        <f>IF(U139 &gt; J7, 0, J7 - U139)</f>
        <v>0</v>
      </c>
      <c r="K8" s="155">
        <f>IF(U139 &gt; K7, 0, K7 - U139)</f>
        <v>0</v>
      </c>
      <c r="L8" s="155">
        <f>IF(U139 &gt; L7, 0, L7 - U139)</f>
        <v>0</v>
      </c>
      <c r="M8" s="155">
        <f>IF(U139 &gt; M7, 0, M7 - U139)</f>
        <v>0</v>
      </c>
      <c r="N8" s="155">
        <f>IF(U139 &gt; N7, 0, N7 - U139)</f>
        <v>0</v>
      </c>
      <c r="O8" s="155">
        <f>IF(U139 &gt; O7, 0, O7 - U139)</f>
        <v>0</v>
      </c>
      <c r="P8" s="155">
        <f>IF(U139 &gt; P7, 0, P7 - U139)</f>
        <v>0</v>
      </c>
      <c r="Q8" s="155">
        <f>IF(U139 &gt; Q7, 0, Q7 - U139)</f>
        <v>0</v>
      </c>
      <c r="R8" s="155">
        <f>IF(U139 &gt; R7, 0, R7 - U139)</f>
        <v>0</v>
      </c>
      <c r="S8" s="155">
        <f>IF(U139 &gt; S7, 0, S7 - U139)</f>
        <v>0</v>
      </c>
      <c r="T8" s="155">
        <f>IF(U139 &gt; T7, 0, T7 - U139)</f>
        <v>0</v>
      </c>
      <c r="U8" s="155">
        <f>IF(U139 &gt; U7, 0, U7 - U139)</f>
        <v>0</v>
      </c>
      <c r="V8" s="155">
        <f>IF(U139 &gt; V7, 0, V7 - U139)</f>
        <v>0</v>
      </c>
      <c r="W8" s="155">
        <f>IF(U139 &gt; W7, 0, W7 - U139)</f>
        <v>0</v>
      </c>
      <c r="X8" s="155">
        <f>IF(U139 &gt; X7, 0, X7 - U139)</f>
        <v>0</v>
      </c>
      <c r="Y8" s="155">
        <f>IF(U139 &gt; Y7, 0, Y7 - U139)</f>
        <v>0</v>
      </c>
      <c r="Z8" s="155">
        <f>IF(U139 &gt; Z7, 0, Z7 - U139)</f>
        <v>0</v>
      </c>
      <c r="AA8" s="155">
        <f>IF(U139 &gt; AA7, 0, AA7 - U139)</f>
        <v>0</v>
      </c>
      <c r="AB8" s="155">
        <f>IF(U139 &gt; AB7, 0, AB7 - U139)</f>
        <v>0</v>
      </c>
      <c r="AC8" s="155">
        <f>IF(U139 &gt; AC7, 0, AC7 - U139)</f>
        <v>0</v>
      </c>
      <c r="AD8" s="155">
        <f>IF(U139 &gt; AD7, 0, AD7 - U139)</f>
        <v>0</v>
      </c>
      <c r="AE8" s="155">
        <f>IF(U139 &gt; AE7, 0, AE7 - U139)</f>
        <v>0</v>
      </c>
      <c r="AF8" s="156">
        <f>IF(U139 &gt; AF7, 0, AF7 - U139)</f>
        <v>0</v>
      </c>
      <c r="AH8" s="35">
        <f>SUMIFS(B8:AF8,B8:AF8,"&gt;=0")</f>
        <v>0</v>
      </c>
      <c r="AI8" s="121"/>
      <c r="AJ8" s="121"/>
      <c r="AK8" s="121"/>
      <c r="AM8" s="22"/>
      <c r="AN8" s="18"/>
    </row>
    <row r="9" spans="1:40" ht="14.4" thickTop="1" thickBot="1" x14ac:dyDescent="0.25">
      <c r="A9" s="151" t="s">
        <v>116</v>
      </c>
      <c r="B9" s="157">
        <f>IF( MONTH(B5) &lt;&gt; MONTH($A118), 0, IF( OR(WEEKDAY(B5,1)=1, WEEKDAY(B5,1)=7, IF( ISERROR(MATCH(B5, 祝日!$B$5:$B$39, 0)), 0, 1)&gt;0), B6, 0))</f>
        <v>0</v>
      </c>
      <c r="C9" s="158">
        <f>IF( MONTH(C5) &lt;&gt; MONTH($A118), 0, IF( OR(WEEKDAY(C5,1)=1, WEEKDAY(C5,1)=7, IF( ISERROR(MATCH(C5, 祝日!$B$5:$B$39, 0)), 0, 1)&gt;0), C6, 0))</f>
        <v>0</v>
      </c>
      <c r="D9" s="158">
        <f>IF( MONTH(D5) &lt;&gt; MONTH($A118), 0, IF( OR(WEEKDAY(D5,1)=1, WEEKDAY(D5,1)=7, IF( ISERROR(MATCH(D5, 祝日!$B$5:$B$39, 0)), 0, 1)&gt;0), D6, 0))</f>
        <v>0</v>
      </c>
      <c r="E9" s="158">
        <f>IF( MONTH(E5) &lt;&gt; MONTH($A118), 0, IF( OR(WEEKDAY(E5,1)=1, WEEKDAY(E5,1)=7, IF( ISERROR(MATCH(E5, 祝日!$B$5:$B$39, 0)), 0, 1)&gt;0), E6, 0))</f>
        <v>0</v>
      </c>
      <c r="F9" s="158">
        <f>IF( MONTH(F5) &lt;&gt; MONTH($A118), 0, IF( OR(WEEKDAY(F5,1)=1, WEEKDAY(F5,1)=7, IF( ISERROR(MATCH(F5, 祝日!$B$5:$B$39, 0)), 0, 1)&gt;0), F6, 0))</f>
        <v>0</v>
      </c>
      <c r="G9" s="158">
        <f>IF( MONTH(G5) &lt;&gt; MONTH($A118), 0, IF( OR(WEEKDAY(G5,1)=1, WEEKDAY(G5,1)=7, IF( ISERROR(MATCH(G5, 祝日!$B$5:$B$39, 0)), 0, 1)&gt;0), G6, 0))</f>
        <v>0</v>
      </c>
      <c r="H9" s="158">
        <f>IF( MONTH(H5) &lt;&gt; MONTH($A118), 0, IF( OR(WEEKDAY(H5,1)=1, WEEKDAY(H5,1)=7, IF( ISERROR(MATCH(H5, 祝日!$B$5:$B$39, 0)), 0, 1)&gt;0), H6, 0))</f>
        <v>0</v>
      </c>
      <c r="I9" s="158">
        <f>IF( MONTH(I5) &lt;&gt; MONTH($A118), 0, IF( OR(WEEKDAY(I5,1)=1, WEEKDAY(I5,1)=7, IF( ISERROR(MATCH(I5, 祝日!$B$5:$B$39, 0)), 0, 1)&gt;0), I6, 0))</f>
        <v>0</v>
      </c>
      <c r="J9" s="158">
        <f>IF( MONTH(J5) &lt;&gt; MONTH($A118), 0, IF( OR(WEEKDAY(J5,1)=1, WEEKDAY(J5,1)=7, IF( ISERROR(MATCH(J5, 祝日!$B$5:$B$39, 0)), 0, 1)&gt;0), J6, 0))</f>
        <v>0</v>
      </c>
      <c r="K9" s="158">
        <f>IF( MONTH(K5) &lt;&gt; MONTH($A118), 0, IF( OR(WEEKDAY(K5,1)=1, WEEKDAY(K5,1)=7, IF( ISERROR(MATCH(K5, 祝日!$B$5:$B$39, 0)), 0, 1)&gt;0), K6, 0))</f>
        <v>0</v>
      </c>
      <c r="L9" s="158">
        <f>IF( MONTH(L5) &lt;&gt; MONTH($A118), 0, IF( OR(WEEKDAY(L5,1)=1, WEEKDAY(L5,1)=7, IF( ISERROR(MATCH(L5, 祝日!$B$5:$B$39, 0)), 0, 1)&gt;0), L6, 0))</f>
        <v>0</v>
      </c>
      <c r="M9" s="158">
        <f>IF( MONTH(M5) &lt;&gt; MONTH($A118), 0, IF( OR(WEEKDAY(M5,1)=1, WEEKDAY(M5,1)=7, IF( ISERROR(MATCH(M5, 祝日!$B$5:$B$39, 0)), 0, 1)&gt;0), M6, 0))</f>
        <v>0</v>
      </c>
      <c r="N9" s="158">
        <f>IF( MONTH(N5) &lt;&gt; MONTH($A118), 0, IF( OR(WEEKDAY(N5,1)=1, WEEKDAY(N5,1)=7, IF( ISERROR(MATCH(N5, 祝日!$B$5:$B$39, 0)), 0, 1)&gt;0), N6, 0))</f>
        <v>0</v>
      </c>
      <c r="O9" s="158">
        <f>IF( MONTH(O5) &lt;&gt; MONTH($A118), 0, IF( OR(WEEKDAY(O5,1)=1, WEEKDAY(O5,1)=7, IF( ISERROR(MATCH(O5, 祝日!$B$5:$B$39, 0)), 0, 1)&gt;0), O6, 0))</f>
        <v>0</v>
      </c>
      <c r="P9" s="158">
        <f>IF( MONTH(P5) &lt;&gt; MONTH($A118), 0, IF( OR(WEEKDAY(P5,1)=1, WEEKDAY(P5,1)=7, IF( ISERROR(MATCH(P5, 祝日!$B$5:$B$39, 0)), 0, 1)&gt;0), P6, 0))</f>
        <v>0</v>
      </c>
      <c r="Q9" s="158">
        <f>IF( MONTH(Q5) &lt;&gt; MONTH($A118), 0, IF( OR(WEEKDAY(Q5,1)=1, WEEKDAY(Q5,1)=7, IF( ISERROR(MATCH(Q5, 祝日!$B$5:$B$39, 0)), 0, 1)&gt;0), Q6, 0))</f>
        <v>0</v>
      </c>
      <c r="R9" s="158">
        <f>IF( MONTH(R5) &lt;&gt; MONTH($A118), 0, IF( OR(WEEKDAY(R5,1)=1, WEEKDAY(R5,1)=7, IF( ISERROR(MATCH(R5, 祝日!$B$5:$B$39, 0)), 0, 1)&gt;0), R6, 0))</f>
        <v>0</v>
      </c>
      <c r="S9" s="158">
        <f>IF( MONTH(S5) &lt;&gt; MONTH($A118), 0, IF( OR(WEEKDAY(S5,1)=1, WEEKDAY(S5,1)=7, IF( ISERROR(MATCH(S5, 祝日!$B$5:$B$39, 0)), 0, 1)&gt;0), S6, 0))</f>
        <v>0</v>
      </c>
      <c r="T9" s="158">
        <f>IF( MONTH(T5) &lt;&gt; MONTH($A118), 0, IF( OR(WEEKDAY(T5,1)=1, WEEKDAY(T5,1)=7, IF( ISERROR(MATCH(T5, 祝日!$B$5:$B$39, 0)), 0, 1)&gt;0), T6, 0))</f>
        <v>0</v>
      </c>
      <c r="U9" s="158">
        <f>IF( MONTH(U5) &lt;&gt; MONTH($A118), 0, IF( OR(WEEKDAY(U5,1)=1, WEEKDAY(U5,1)=7, IF( ISERROR(MATCH(U5, 祝日!$B$5:$B$39, 0)), 0, 1)&gt;0), U6, 0))</f>
        <v>0</v>
      </c>
      <c r="V9" s="158">
        <f>IF( MONTH(V5) &lt;&gt; MONTH($A118), 0, IF( OR(WEEKDAY(V5,1)=1, WEEKDAY(V5,1)=7, IF( ISERROR(MATCH(V5, 祝日!$B$5:$B$39, 0)), 0, 1)&gt;0), V6, 0))</f>
        <v>0</v>
      </c>
      <c r="W9" s="158">
        <f>IF( MONTH(W5) &lt;&gt; MONTH($A118), 0, IF( OR(WEEKDAY(W5,1)=1, WEEKDAY(W5,1)=7, IF( ISERROR(MATCH(W5, 祝日!$B$5:$B$39, 0)), 0, 1)&gt;0), W6, 0))</f>
        <v>0</v>
      </c>
      <c r="X9" s="158">
        <f>IF( MONTH(X5) &lt;&gt; MONTH($A118), 0, IF( OR(WEEKDAY(X5,1)=1, WEEKDAY(X5,1)=7, IF( ISERROR(MATCH(X5, 祝日!$B$5:$B$39, 0)), 0, 1)&gt;0), X6, 0))</f>
        <v>0</v>
      </c>
      <c r="Y9" s="158">
        <f>IF( MONTH(Y5) &lt;&gt; MONTH($A118), 0, IF( OR(WEEKDAY(Y5,1)=1, WEEKDAY(Y5,1)=7, IF( ISERROR(MATCH(Y5, 祝日!$B$5:$B$39, 0)), 0, 1)&gt;0), Y6, 0))</f>
        <v>0</v>
      </c>
      <c r="Z9" s="158">
        <f>IF( MONTH(Z5) &lt;&gt; MONTH($A118), 0, IF( OR(WEEKDAY(Z5,1)=1, WEEKDAY(Z5,1)=7, IF( ISERROR(MATCH(Z5, 祝日!$B$5:$B$39, 0)), 0, 1)&gt;0), Z6, 0))</f>
        <v>0</v>
      </c>
      <c r="AA9" s="158">
        <f>IF( MONTH(AA5) &lt;&gt; MONTH($A118), 0, IF( OR(WEEKDAY(AA5,1)=1, WEEKDAY(AA5,1)=7, IF( ISERROR(MATCH(AA5, 祝日!$B$5:$B$39, 0)), 0, 1)&gt;0), AA6, 0))</f>
        <v>0</v>
      </c>
      <c r="AB9" s="158">
        <f>IF( MONTH(AB5) &lt;&gt; MONTH($A118), 0, IF( OR(WEEKDAY(AB5,1)=1, WEEKDAY(AB5,1)=7, IF( ISERROR(MATCH(AB5, 祝日!$B$5:$B$39, 0)), 0, 1)&gt;0), AB6, 0))</f>
        <v>0</v>
      </c>
      <c r="AC9" s="158">
        <f>IF( MONTH(AC5) &lt;&gt; MONTH($A118), 0, IF( OR(WEEKDAY(AC5,1)=1, WEEKDAY(AC5,1)=7, IF( ISERROR(MATCH(AC5, 祝日!$B$5:$B$39, 0)), 0, 1)&gt;0), AC6, 0))</f>
        <v>0</v>
      </c>
      <c r="AD9" s="158">
        <f>IF( MONTH(AD5) &lt;&gt; MONTH($A118), 0, IF( OR(WEEKDAY(AD5,1)=1, WEEKDAY(AD5,1)=7, IF( ISERROR(MATCH(AD5, 祝日!$B$5:$B$39, 0)), 0, 1)&gt;0), AD6, 0))</f>
        <v>0</v>
      </c>
      <c r="AE9" s="158">
        <f>IF( MONTH(AE5) &lt;&gt; MONTH($A118), 0, IF( OR(WEEKDAY(AE5,1)=1, WEEKDAY(AE5,1)=7, IF( ISERROR(MATCH(AE5, 祝日!$B$5:$B$39, 0)), 0, 1)&gt;0), AE6, 0))</f>
        <v>0</v>
      </c>
      <c r="AF9" s="159">
        <f>IF( MONTH(AF5) &lt;&gt; MONTH($A118), 0, IF( OR(WEEKDAY(AF5,1)=1, WEEKDAY(AF5,1)=7, IF( ISERROR(MATCH(AF5, 祝日!$B$5:$B$39, 0)), 0, 1)&gt;0), AF6, 0))</f>
        <v>0</v>
      </c>
      <c r="AH9" s="35">
        <f>SUMIFS(B9:AF9,B9:AF9,"&gt;=0")</f>
        <v>0</v>
      </c>
      <c r="AI9" s="121"/>
      <c r="AJ9" s="121"/>
      <c r="AK9" s="121"/>
      <c r="AM9" s="22"/>
      <c r="AN9" s="18"/>
    </row>
    <row r="10" spans="1:40" ht="13.8" thickTop="1" x14ac:dyDescent="0.2">
      <c r="A10" s="132" t="s">
        <v>107</v>
      </c>
      <c r="B10" s="129"/>
      <c r="C10" s="129"/>
      <c r="D10" s="129"/>
      <c r="E10" s="129"/>
      <c r="F10" s="130"/>
      <c r="G10" s="130"/>
      <c r="H10" s="129"/>
      <c r="I10" s="129"/>
      <c r="J10" s="129"/>
      <c r="K10" s="129"/>
      <c r="L10" s="130"/>
      <c r="M10" s="130"/>
      <c r="N10" s="129"/>
      <c r="O10" s="130"/>
      <c r="P10" s="130"/>
      <c r="Q10" s="129"/>
      <c r="R10" s="129"/>
      <c r="S10" s="129"/>
      <c r="T10" s="130"/>
      <c r="U10" s="130"/>
      <c r="V10" s="129"/>
      <c r="W10" s="130"/>
      <c r="X10" s="130"/>
      <c r="Y10" s="130"/>
      <c r="Z10" s="129"/>
      <c r="AA10" s="129"/>
      <c r="AB10" s="129"/>
      <c r="AC10" s="129"/>
      <c r="AD10" s="129"/>
      <c r="AE10" s="130"/>
      <c r="AF10" s="129"/>
      <c r="AH10" s="133"/>
      <c r="AI10" s="133"/>
      <c r="AJ10" s="133" t="s">
        <v>110</v>
      </c>
      <c r="AK10" s="122"/>
      <c r="AL10" s="25" t="s">
        <v>10</v>
      </c>
      <c r="AM10" s="202" t="s">
        <v>11</v>
      </c>
      <c r="AN10" s="203"/>
    </row>
    <row r="11" spans="1:40" x14ac:dyDescent="0.2">
      <c r="A11" s="128"/>
      <c r="B11" s="129"/>
      <c r="C11" s="129"/>
      <c r="D11" s="129"/>
      <c r="E11" s="129"/>
      <c r="F11" s="130"/>
      <c r="G11" s="130"/>
      <c r="H11" s="129"/>
      <c r="I11" s="129"/>
      <c r="J11" s="129"/>
      <c r="K11" s="129"/>
      <c r="L11" s="130"/>
      <c r="M11" s="130"/>
      <c r="N11" s="129"/>
      <c r="O11" s="130"/>
      <c r="P11" s="130"/>
      <c r="Q11" s="129"/>
      <c r="R11" s="129"/>
      <c r="S11" s="129"/>
      <c r="T11" s="130"/>
      <c r="U11" s="130"/>
      <c r="V11" s="129"/>
      <c r="W11" s="130"/>
      <c r="X11" s="130"/>
      <c r="Y11" s="130"/>
      <c r="Z11" s="129"/>
      <c r="AA11" s="129"/>
      <c r="AB11" s="129"/>
      <c r="AC11" s="129"/>
      <c r="AD11" s="129"/>
      <c r="AE11" s="130"/>
      <c r="AF11" s="129"/>
      <c r="AH11" s="134" t="s">
        <v>106</v>
      </c>
      <c r="AI11" s="134" t="s">
        <v>109</v>
      </c>
      <c r="AJ11" s="134" t="s">
        <v>112</v>
      </c>
      <c r="AK11" s="122"/>
      <c r="AL11" s="131"/>
      <c r="AM11" s="143"/>
      <c r="AN11" s="146"/>
    </row>
    <row r="12" spans="1:40" x14ac:dyDescent="0.2">
      <c r="A12" s="128" t="s">
        <v>108</v>
      </c>
      <c r="B12" s="129"/>
      <c r="C12" s="129"/>
      <c r="D12" s="129"/>
      <c r="E12" s="129"/>
      <c r="F12" s="130"/>
      <c r="G12" s="130"/>
      <c r="H12" s="129"/>
      <c r="I12" s="129"/>
      <c r="J12" s="129"/>
      <c r="K12" s="129"/>
      <c r="L12" s="130"/>
      <c r="M12" s="130"/>
      <c r="N12" s="129"/>
      <c r="O12" s="130"/>
      <c r="P12" s="130"/>
      <c r="Q12" s="129"/>
      <c r="R12" s="129"/>
      <c r="S12" s="129"/>
      <c r="T12" s="130"/>
      <c r="U12" s="130"/>
      <c r="V12" s="129"/>
      <c r="W12" s="130"/>
      <c r="X12" s="130"/>
      <c r="Y12" s="130"/>
      <c r="Z12" s="129"/>
      <c r="AA12" s="129"/>
      <c r="AB12" s="129"/>
      <c r="AC12" s="129"/>
      <c r="AD12" s="129"/>
      <c r="AE12" s="130"/>
      <c r="AF12" s="129"/>
      <c r="AH12" s="134" t="s">
        <v>113</v>
      </c>
      <c r="AI12" s="134"/>
      <c r="AJ12" s="133" t="s">
        <v>111</v>
      </c>
      <c r="AK12" s="122"/>
      <c r="AL12" s="131"/>
      <c r="AM12" s="143"/>
      <c r="AN12" s="146"/>
    </row>
    <row r="13" spans="1:40" ht="13.8" thickBot="1" x14ac:dyDescent="0.25">
      <c r="A13" s="128"/>
      <c r="B13" s="129"/>
      <c r="C13" s="129"/>
      <c r="D13" s="129"/>
      <c r="E13" s="129"/>
      <c r="F13" s="130"/>
      <c r="G13" s="130"/>
      <c r="H13" s="129"/>
      <c r="I13" s="129"/>
      <c r="J13" s="129"/>
      <c r="K13" s="129"/>
      <c r="L13" s="130"/>
      <c r="M13" s="130"/>
      <c r="N13" s="129"/>
      <c r="O13" s="130"/>
      <c r="P13" s="130"/>
      <c r="Q13" s="129"/>
      <c r="R13" s="129"/>
      <c r="S13" s="129"/>
      <c r="T13" s="130"/>
      <c r="U13" s="130"/>
      <c r="V13" s="129"/>
      <c r="W13" s="130"/>
      <c r="X13" s="130"/>
      <c r="Y13" s="130"/>
      <c r="Z13" s="129"/>
      <c r="AA13" s="129"/>
      <c r="AB13" s="129"/>
      <c r="AC13" s="129"/>
      <c r="AD13" s="129"/>
      <c r="AE13" s="130"/>
      <c r="AF13" s="129"/>
      <c r="AH13" s="135"/>
      <c r="AI13" s="135"/>
      <c r="AJ13" s="135"/>
      <c r="AK13" s="122"/>
      <c r="AL13" s="131"/>
      <c r="AM13" s="143"/>
      <c r="AN13" s="146"/>
    </row>
    <row r="14" spans="1:40" ht="12.75" customHeight="1" thickTop="1" x14ac:dyDescent="0.2">
      <c r="A14" s="28">
        <v>99999</v>
      </c>
      <c r="B14" s="278" t="str">
        <f t="shared" ref="B14:AF14" si="2">IFERROR(VLOOKUP(B16,有給欄表,2,0),"")</f>
        <v/>
      </c>
      <c r="C14" s="278">
        <f t="shared" si="2"/>
        <v>8</v>
      </c>
      <c r="D14" s="278" t="str">
        <f t="shared" si="2"/>
        <v/>
      </c>
      <c r="E14" s="278" t="str">
        <f t="shared" si="2"/>
        <v/>
      </c>
      <c r="F14" s="278" t="str">
        <f t="shared" si="2"/>
        <v/>
      </c>
      <c r="G14" s="278">
        <f t="shared" si="2"/>
        <v>8</v>
      </c>
      <c r="H14" s="278" t="str">
        <f t="shared" si="2"/>
        <v/>
      </c>
      <c r="I14" s="278" t="str">
        <f t="shared" si="2"/>
        <v/>
      </c>
      <c r="J14" s="278" t="str">
        <f t="shared" si="2"/>
        <v/>
      </c>
      <c r="K14" s="278" t="str">
        <f t="shared" si="2"/>
        <v/>
      </c>
      <c r="L14" s="278" t="str">
        <f t="shared" si="2"/>
        <v/>
      </c>
      <c r="M14" s="278" t="str">
        <f t="shared" si="2"/>
        <v/>
      </c>
      <c r="N14" s="278" t="str">
        <f t="shared" si="2"/>
        <v/>
      </c>
      <c r="O14" s="278" t="str">
        <f t="shared" si="2"/>
        <v/>
      </c>
      <c r="P14" s="278" t="str">
        <f t="shared" si="2"/>
        <v/>
      </c>
      <c r="Q14" s="278" t="str">
        <f t="shared" si="2"/>
        <v/>
      </c>
      <c r="R14" s="278" t="str">
        <f t="shared" si="2"/>
        <v/>
      </c>
      <c r="S14" s="278" t="str">
        <f t="shared" si="2"/>
        <v/>
      </c>
      <c r="T14" s="278" t="str">
        <f t="shared" si="2"/>
        <v/>
      </c>
      <c r="U14" s="278" t="str">
        <f t="shared" si="2"/>
        <v/>
      </c>
      <c r="V14" s="278" t="str">
        <f t="shared" si="2"/>
        <v/>
      </c>
      <c r="W14" s="278" t="str">
        <f t="shared" si="2"/>
        <v/>
      </c>
      <c r="X14" s="278" t="str">
        <f t="shared" si="2"/>
        <v/>
      </c>
      <c r="Y14" s="278" t="str">
        <f t="shared" si="2"/>
        <v/>
      </c>
      <c r="Z14" s="278" t="str">
        <f t="shared" si="2"/>
        <v/>
      </c>
      <c r="AA14" s="278" t="str">
        <f t="shared" si="2"/>
        <v/>
      </c>
      <c r="AB14" s="278" t="str">
        <f t="shared" si="2"/>
        <v/>
      </c>
      <c r="AC14" s="278" t="str">
        <f t="shared" si="2"/>
        <v/>
      </c>
      <c r="AD14" s="278" t="str">
        <f t="shared" si="2"/>
        <v/>
      </c>
      <c r="AE14" s="278" t="str">
        <f t="shared" si="2"/>
        <v/>
      </c>
      <c r="AF14" s="278" t="str">
        <f t="shared" si="2"/>
        <v/>
      </c>
      <c r="AH14" s="269">
        <f>SUMIFS(B14:AF14, B16:AF16, "&lt;&gt;振*")</f>
        <v>16</v>
      </c>
      <c r="AI14" s="216">
        <f>IFERROR(VLOOKUP($A14,'外出交通費精算明細書 (3段)'!$AD$13:$AE$48,2,FALSE),0)+IFERROR(VLOOKUP($A14,'外出交通費精算明細書 (4段)'!$AD$13:$AE$48,2,FALSE),0)</f>
        <v>0</v>
      </c>
      <c r="AJ14" s="216"/>
      <c r="AK14" s="120"/>
      <c r="AL14" s="41"/>
      <c r="AM14" s="204"/>
      <c r="AN14" s="205"/>
    </row>
    <row r="15" spans="1:40" ht="12.75" customHeight="1" x14ac:dyDescent="0.2">
      <c r="A15" s="287" t="s">
        <v>51</v>
      </c>
      <c r="B15" s="279"/>
      <c r="C15" s="279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N15" s="279"/>
      <c r="O15" s="279"/>
      <c r="P15" s="279"/>
      <c r="Q15" s="279"/>
      <c r="R15" s="279"/>
      <c r="S15" s="279"/>
      <c r="T15" s="279"/>
      <c r="U15" s="279"/>
      <c r="V15" s="279"/>
      <c r="W15" s="279"/>
      <c r="X15" s="279"/>
      <c r="Y15" s="279"/>
      <c r="Z15" s="279"/>
      <c r="AA15" s="279"/>
      <c r="AB15" s="279"/>
      <c r="AC15" s="279"/>
      <c r="AD15" s="279"/>
      <c r="AE15" s="279"/>
      <c r="AF15" s="279"/>
      <c r="AH15" s="270"/>
      <c r="AI15" s="217"/>
      <c r="AJ15" s="217"/>
      <c r="AK15" s="120"/>
      <c r="AL15" s="42"/>
      <c r="AM15" s="200"/>
      <c r="AN15" s="201"/>
    </row>
    <row r="16" spans="1:40" x14ac:dyDescent="0.2">
      <c r="A16" s="287"/>
      <c r="B16" s="48"/>
      <c r="C16" s="49" t="s">
        <v>34</v>
      </c>
      <c r="D16" s="50"/>
      <c r="E16" s="50"/>
      <c r="F16" s="50"/>
      <c r="G16" s="49" t="s">
        <v>34</v>
      </c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50"/>
      <c r="AC16" s="50"/>
      <c r="AD16" s="50"/>
      <c r="AE16" s="50"/>
      <c r="AF16" s="49"/>
      <c r="AH16" s="270"/>
      <c r="AI16" s="217"/>
      <c r="AJ16" s="216"/>
      <c r="AK16" s="120"/>
      <c r="AL16" s="42"/>
      <c r="AM16" s="200"/>
      <c r="AN16" s="201"/>
    </row>
    <row r="17" spans="1:40" x14ac:dyDescent="0.2">
      <c r="A17" s="288"/>
      <c r="B17" s="51"/>
      <c r="C17" s="52"/>
      <c r="D17" s="53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4"/>
      <c r="AC17" s="54"/>
      <c r="AD17" s="54"/>
      <c r="AE17" s="54"/>
      <c r="AF17" s="55"/>
      <c r="AH17" s="271"/>
      <c r="AI17" s="217"/>
      <c r="AJ17" s="216"/>
      <c r="AK17" s="120"/>
      <c r="AL17" s="42"/>
      <c r="AM17" s="200"/>
      <c r="AN17" s="201"/>
    </row>
    <row r="18" spans="1:40" x14ac:dyDescent="0.2">
      <c r="A18" s="24">
        <v>99998</v>
      </c>
      <c r="B18" s="260"/>
      <c r="C18" s="263"/>
      <c r="D18" s="263"/>
      <c r="E18" s="263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  <c r="U18" s="247"/>
      <c r="V18" s="247"/>
      <c r="W18" s="247"/>
      <c r="X18" s="247"/>
      <c r="Y18" s="247"/>
      <c r="Z18" s="247"/>
      <c r="AA18" s="247"/>
      <c r="AB18" s="247"/>
      <c r="AC18" s="247"/>
      <c r="AD18" s="247"/>
      <c r="AE18" s="247"/>
      <c r="AF18" s="250"/>
      <c r="AH18" s="269">
        <f>SUM(B18:AF18)</f>
        <v>0</v>
      </c>
      <c r="AI18" s="216">
        <f>IFERROR(VLOOKUP($A18,'外出交通費精算明細書 (3段)'!$AD$13:$AE$48,2,FALSE),0)+IFERROR(VLOOKUP($A18,'外出交通費精算明細書 (4段)'!$AD$13:$AE$48,2,FALSE),0)</f>
        <v>0</v>
      </c>
      <c r="AJ18" s="217"/>
      <c r="AK18" s="120"/>
      <c r="AL18" s="42"/>
      <c r="AM18" s="200"/>
      <c r="AN18" s="201"/>
    </row>
    <row r="19" spans="1:40" x14ac:dyDescent="0.2">
      <c r="A19" s="240" t="s">
        <v>14</v>
      </c>
      <c r="B19" s="261"/>
      <c r="C19" s="264"/>
      <c r="D19" s="264"/>
      <c r="E19" s="264"/>
      <c r="F19" s="248"/>
      <c r="G19" s="248"/>
      <c r="H19" s="248"/>
      <c r="I19" s="248"/>
      <c r="J19" s="248"/>
      <c r="K19" s="248"/>
      <c r="L19" s="248"/>
      <c r="M19" s="248"/>
      <c r="N19" s="248"/>
      <c r="O19" s="248"/>
      <c r="P19" s="248"/>
      <c r="Q19" s="248"/>
      <c r="R19" s="248"/>
      <c r="S19" s="248"/>
      <c r="T19" s="248"/>
      <c r="U19" s="248"/>
      <c r="V19" s="248"/>
      <c r="W19" s="248"/>
      <c r="X19" s="248"/>
      <c r="Y19" s="248"/>
      <c r="Z19" s="248"/>
      <c r="AA19" s="248"/>
      <c r="AB19" s="248"/>
      <c r="AC19" s="248"/>
      <c r="AD19" s="248"/>
      <c r="AE19" s="248"/>
      <c r="AF19" s="251"/>
      <c r="AH19" s="270"/>
      <c r="AI19" s="217"/>
      <c r="AJ19" s="217"/>
      <c r="AK19" s="120"/>
      <c r="AL19" s="42"/>
      <c r="AM19" s="200"/>
      <c r="AN19" s="201"/>
    </row>
    <row r="20" spans="1:40" x14ac:dyDescent="0.2">
      <c r="A20" s="240"/>
      <c r="B20" s="261"/>
      <c r="C20" s="264"/>
      <c r="D20" s="264"/>
      <c r="E20" s="264"/>
      <c r="F20" s="248"/>
      <c r="G20" s="248"/>
      <c r="H20" s="248"/>
      <c r="I20" s="248"/>
      <c r="J20" s="248"/>
      <c r="K20" s="248"/>
      <c r="L20" s="248"/>
      <c r="M20" s="248"/>
      <c r="N20" s="248"/>
      <c r="O20" s="248"/>
      <c r="P20" s="248"/>
      <c r="Q20" s="248"/>
      <c r="R20" s="248"/>
      <c r="S20" s="248"/>
      <c r="T20" s="248"/>
      <c r="U20" s="248"/>
      <c r="V20" s="248"/>
      <c r="W20" s="248"/>
      <c r="X20" s="248"/>
      <c r="Y20" s="248"/>
      <c r="Z20" s="248"/>
      <c r="AA20" s="248"/>
      <c r="AB20" s="248"/>
      <c r="AC20" s="248"/>
      <c r="AD20" s="248"/>
      <c r="AE20" s="248"/>
      <c r="AF20" s="251"/>
      <c r="AH20" s="270"/>
      <c r="AI20" s="217"/>
      <c r="AJ20" s="217"/>
      <c r="AK20" s="120"/>
      <c r="AL20" s="42"/>
      <c r="AM20" s="200"/>
      <c r="AN20" s="201"/>
    </row>
    <row r="21" spans="1:40" x14ac:dyDescent="0.2">
      <c r="A21" s="240"/>
      <c r="B21" s="262"/>
      <c r="C21" s="265"/>
      <c r="D21" s="265"/>
      <c r="E21" s="265"/>
      <c r="F21" s="249"/>
      <c r="G21" s="249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  <c r="V21" s="249"/>
      <c r="W21" s="249"/>
      <c r="X21" s="249"/>
      <c r="Y21" s="249"/>
      <c r="Z21" s="249"/>
      <c r="AA21" s="249"/>
      <c r="AB21" s="249"/>
      <c r="AC21" s="249"/>
      <c r="AD21" s="249"/>
      <c r="AE21" s="249"/>
      <c r="AF21" s="252"/>
      <c r="AH21" s="271"/>
      <c r="AI21" s="217"/>
      <c r="AJ21" s="217"/>
      <c r="AK21" s="120"/>
      <c r="AL21" s="44"/>
      <c r="AM21" s="200"/>
      <c r="AN21" s="201"/>
    </row>
    <row r="22" spans="1:40" x14ac:dyDescent="0.2">
      <c r="A22" s="27">
        <v>66411</v>
      </c>
      <c r="B22" s="261"/>
      <c r="C22" s="264"/>
      <c r="D22" s="264"/>
      <c r="E22" s="264"/>
      <c r="F22" s="248"/>
      <c r="G22" s="248"/>
      <c r="H22" s="248"/>
      <c r="I22" s="248"/>
      <c r="J22" s="248"/>
      <c r="K22" s="248"/>
      <c r="L22" s="248"/>
      <c r="M22" s="248"/>
      <c r="N22" s="248"/>
      <c r="O22" s="248"/>
      <c r="P22" s="248"/>
      <c r="Q22" s="248"/>
      <c r="R22" s="248"/>
      <c r="S22" s="248"/>
      <c r="T22" s="248"/>
      <c r="U22" s="248"/>
      <c r="V22" s="248"/>
      <c r="W22" s="248"/>
      <c r="X22" s="248"/>
      <c r="Y22" s="248"/>
      <c r="Z22" s="248"/>
      <c r="AA22" s="248"/>
      <c r="AB22" s="248"/>
      <c r="AC22" s="248"/>
      <c r="AD22" s="248"/>
      <c r="AE22" s="248"/>
      <c r="AF22" s="251"/>
      <c r="AH22" s="269">
        <f>SUM(B22:AF22)</f>
        <v>0</v>
      </c>
      <c r="AI22" s="216">
        <f>IFERROR(VLOOKUP($A22,'外出交通費精算明細書 (3段)'!$AD$13:$AE$48,2,FALSE),0)+IFERROR(VLOOKUP($A22,'外出交通費精算明細書 (4段)'!$AD$13:$AE$48,2,FALSE),0)</f>
        <v>0</v>
      </c>
      <c r="AJ22" s="217"/>
      <c r="AK22" s="120"/>
      <c r="AL22" s="45"/>
      <c r="AM22" s="200"/>
      <c r="AN22" s="201"/>
    </row>
    <row r="23" spans="1:40" x14ac:dyDescent="0.2">
      <c r="A23" s="240" t="s">
        <v>135</v>
      </c>
      <c r="B23" s="261"/>
      <c r="C23" s="264"/>
      <c r="D23" s="264"/>
      <c r="E23" s="264"/>
      <c r="F23" s="248"/>
      <c r="G23" s="248"/>
      <c r="H23" s="248"/>
      <c r="I23" s="248"/>
      <c r="J23" s="248"/>
      <c r="K23" s="248"/>
      <c r="L23" s="248"/>
      <c r="M23" s="248"/>
      <c r="N23" s="248"/>
      <c r="O23" s="248"/>
      <c r="P23" s="248"/>
      <c r="Q23" s="248"/>
      <c r="R23" s="248"/>
      <c r="S23" s="248"/>
      <c r="T23" s="248"/>
      <c r="U23" s="248"/>
      <c r="V23" s="248"/>
      <c r="W23" s="248"/>
      <c r="X23" s="248"/>
      <c r="Y23" s="248"/>
      <c r="Z23" s="248"/>
      <c r="AA23" s="248"/>
      <c r="AB23" s="248"/>
      <c r="AC23" s="248"/>
      <c r="AD23" s="248"/>
      <c r="AE23" s="248"/>
      <c r="AF23" s="251"/>
      <c r="AH23" s="270"/>
      <c r="AI23" s="217"/>
      <c r="AJ23" s="217"/>
      <c r="AK23" s="120"/>
      <c r="AL23" s="42"/>
      <c r="AM23" s="200"/>
      <c r="AN23" s="201"/>
    </row>
    <row r="24" spans="1:40" x14ac:dyDescent="0.2">
      <c r="A24" s="240"/>
      <c r="B24" s="261"/>
      <c r="C24" s="264"/>
      <c r="D24" s="264"/>
      <c r="E24" s="264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8"/>
      <c r="R24" s="248"/>
      <c r="S24" s="248"/>
      <c r="T24" s="248"/>
      <c r="U24" s="248"/>
      <c r="V24" s="248"/>
      <c r="W24" s="248"/>
      <c r="X24" s="248"/>
      <c r="Y24" s="248"/>
      <c r="Z24" s="248"/>
      <c r="AA24" s="248"/>
      <c r="AB24" s="248"/>
      <c r="AC24" s="248"/>
      <c r="AD24" s="248"/>
      <c r="AE24" s="248"/>
      <c r="AF24" s="251"/>
      <c r="AH24" s="270"/>
      <c r="AI24" s="217"/>
      <c r="AJ24" s="217"/>
      <c r="AK24" s="120"/>
      <c r="AL24" s="42"/>
      <c r="AM24" s="200"/>
      <c r="AN24" s="201"/>
    </row>
    <row r="25" spans="1:40" x14ac:dyDescent="0.2">
      <c r="A25" s="241"/>
      <c r="B25" s="262"/>
      <c r="C25" s="265"/>
      <c r="D25" s="265"/>
      <c r="E25" s="265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49"/>
      <c r="X25" s="249"/>
      <c r="Y25" s="249"/>
      <c r="Z25" s="249"/>
      <c r="AA25" s="249"/>
      <c r="AB25" s="249"/>
      <c r="AC25" s="249"/>
      <c r="AD25" s="249"/>
      <c r="AE25" s="249"/>
      <c r="AF25" s="252"/>
      <c r="AH25" s="271"/>
      <c r="AI25" s="217"/>
      <c r="AJ25" s="217"/>
      <c r="AK25" s="120"/>
      <c r="AL25" s="42"/>
      <c r="AM25" s="200"/>
      <c r="AN25" s="201"/>
    </row>
    <row r="26" spans="1:40" x14ac:dyDescent="0.2">
      <c r="A26" s="24">
        <v>66412</v>
      </c>
      <c r="B26" s="260"/>
      <c r="C26" s="263"/>
      <c r="D26" s="263"/>
      <c r="E26" s="263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  <c r="U26" s="247"/>
      <c r="V26" s="247"/>
      <c r="W26" s="247"/>
      <c r="X26" s="247"/>
      <c r="Y26" s="247"/>
      <c r="Z26" s="247"/>
      <c r="AA26" s="247"/>
      <c r="AB26" s="247"/>
      <c r="AC26" s="247"/>
      <c r="AD26" s="247"/>
      <c r="AE26" s="247"/>
      <c r="AF26" s="250"/>
      <c r="AH26" s="269">
        <f>SUM(B26:AF26)</f>
        <v>0</v>
      </c>
      <c r="AI26" s="216">
        <f>IFERROR(VLOOKUP($A26,'外出交通費精算明細書 (3段)'!$AD$13:$AE$48,2,FALSE),0)+IFERROR(VLOOKUP($A26,'外出交通費精算明細書 (4段)'!$AD$13:$AE$48,2,FALSE),0)</f>
        <v>0</v>
      </c>
      <c r="AJ26" s="217"/>
      <c r="AK26" s="120"/>
      <c r="AL26" s="42"/>
      <c r="AM26" s="200"/>
      <c r="AN26" s="201"/>
    </row>
    <row r="27" spans="1:40" x14ac:dyDescent="0.2">
      <c r="A27" s="240" t="s">
        <v>136</v>
      </c>
      <c r="B27" s="261"/>
      <c r="C27" s="264"/>
      <c r="D27" s="264"/>
      <c r="E27" s="264"/>
      <c r="F27" s="248"/>
      <c r="G27" s="248"/>
      <c r="H27" s="248"/>
      <c r="I27" s="248"/>
      <c r="J27" s="248"/>
      <c r="K27" s="248"/>
      <c r="L27" s="248"/>
      <c r="M27" s="248"/>
      <c r="N27" s="248"/>
      <c r="O27" s="248"/>
      <c r="P27" s="248"/>
      <c r="Q27" s="248"/>
      <c r="R27" s="248"/>
      <c r="S27" s="248"/>
      <c r="T27" s="248"/>
      <c r="U27" s="248"/>
      <c r="V27" s="248"/>
      <c r="W27" s="248"/>
      <c r="X27" s="248"/>
      <c r="Y27" s="248"/>
      <c r="Z27" s="248"/>
      <c r="AA27" s="248"/>
      <c r="AB27" s="248"/>
      <c r="AC27" s="248"/>
      <c r="AD27" s="248"/>
      <c r="AE27" s="248"/>
      <c r="AF27" s="251"/>
      <c r="AH27" s="270"/>
      <c r="AI27" s="217"/>
      <c r="AJ27" s="217"/>
      <c r="AK27" s="120"/>
      <c r="AL27" s="42"/>
      <c r="AM27" s="200"/>
      <c r="AN27" s="201"/>
    </row>
    <row r="28" spans="1:40" x14ac:dyDescent="0.2">
      <c r="A28" s="240"/>
      <c r="B28" s="261"/>
      <c r="C28" s="264"/>
      <c r="D28" s="264"/>
      <c r="E28" s="264"/>
      <c r="F28" s="248"/>
      <c r="G28" s="248"/>
      <c r="H28" s="248"/>
      <c r="I28" s="248"/>
      <c r="J28" s="248"/>
      <c r="K28" s="248"/>
      <c r="L28" s="248"/>
      <c r="M28" s="248"/>
      <c r="N28" s="248"/>
      <c r="O28" s="248"/>
      <c r="P28" s="248"/>
      <c r="Q28" s="248"/>
      <c r="R28" s="248"/>
      <c r="S28" s="248"/>
      <c r="T28" s="248"/>
      <c r="U28" s="248"/>
      <c r="V28" s="248"/>
      <c r="W28" s="248"/>
      <c r="X28" s="248"/>
      <c r="Y28" s="248"/>
      <c r="Z28" s="248"/>
      <c r="AA28" s="248"/>
      <c r="AB28" s="248"/>
      <c r="AC28" s="248"/>
      <c r="AD28" s="248"/>
      <c r="AE28" s="248"/>
      <c r="AF28" s="251"/>
      <c r="AH28" s="270"/>
      <c r="AI28" s="217"/>
      <c r="AJ28" s="217"/>
      <c r="AK28" s="120"/>
      <c r="AL28" s="42"/>
      <c r="AM28" s="200"/>
      <c r="AN28" s="201"/>
    </row>
    <row r="29" spans="1:40" x14ac:dyDescent="0.2">
      <c r="A29" s="241"/>
      <c r="B29" s="262"/>
      <c r="C29" s="265"/>
      <c r="D29" s="265"/>
      <c r="E29" s="265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49"/>
      <c r="AC29" s="249"/>
      <c r="AD29" s="249"/>
      <c r="AE29" s="249"/>
      <c r="AF29" s="252"/>
      <c r="AH29" s="271"/>
      <c r="AI29" s="217"/>
      <c r="AJ29" s="217"/>
      <c r="AK29" s="120"/>
      <c r="AL29" s="42"/>
      <c r="AM29" s="200"/>
      <c r="AN29" s="201"/>
    </row>
    <row r="30" spans="1:40" x14ac:dyDescent="0.2">
      <c r="A30" s="24">
        <v>66413</v>
      </c>
      <c r="B30" s="260"/>
      <c r="C30" s="263"/>
      <c r="D30" s="263"/>
      <c r="E30" s="263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  <c r="U30" s="247"/>
      <c r="V30" s="247"/>
      <c r="W30" s="247"/>
      <c r="X30" s="247"/>
      <c r="Y30" s="247"/>
      <c r="Z30" s="247"/>
      <c r="AA30" s="247"/>
      <c r="AB30" s="247"/>
      <c r="AC30" s="247"/>
      <c r="AD30" s="247"/>
      <c r="AE30" s="247"/>
      <c r="AF30" s="250"/>
      <c r="AH30" s="269">
        <f>SUM(B30:AF30)</f>
        <v>0</v>
      </c>
      <c r="AI30" s="216">
        <f>IFERROR(VLOOKUP($A30,'外出交通費精算明細書 (3段)'!$AD$13:$AE$48,2,FALSE),0)+IFERROR(VLOOKUP($A30,'外出交通費精算明細書 (4段)'!$AD$13:$AE$48,2,FALSE),0)</f>
        <v>0</v>
      </c>
      <c r="AJ30" s="217"/>
      <c r="AK30" s="120"/>
      <c r="AL30" s="44"/>
      <c r="AM30" s="200"/>
      <c r="AN30" s="201"/>
    </row>
    <row r="31" spans="1:40" x14ac:dyDescent="0.2">
      <c r="A31" s="240" t="s">
        <v>137</v>
      </c>
      <c r="B31" s="261"/>
      <c r="C31" s="264"/>
      <c r="D31" s="264"/>
      <c r="E31" s="264"/>
      <c r="F31" s="248"/>
      <c r="G31" s="248"/>
      <c r="H31" s="248"/>
      <c r="I31" s="248"/>
      <c r="J31" s="248"/>
      <c r="K31" s="248"/>
      <c r="L31" s="248"/>
      <c r="M31" s="248"/>
      <c r="N31" s="248"/>
      <c r="O31" s="248"/>
      <c r="P31" s="248"/>
      <c r="Q31" s="248"/>
      <c r="R31" s="248"/>
      <c r="S31" s="248"/>
      <c r="T31" s="248"/>
      <c r="U31" s="248"/>
      <c r="V31" s="248"/>
      <c r="W31" s="248"/>
      <c r="X31" s="248"/>
      <c r="Y31" s="248"/>
      <c r="Z31" s="248"/>
      <c r="AA31" s="248"/>
      <c r="AB31" s="248"/>
      <c r="AC31" s="248"/>
      <c r="AD31" s="248"/>
      <c r="AE31" s="248"/>
      <c r="AF31" s="251"/>
      <c r="AH31" s="270"/>
      <c r="AI31" s="217"/>
      <c r="AJ31" s="217"/>
      <c r="AK31" s="120"/>
      <c r="AL31" s="42"/>
      <c r="AM31" s="200"/>
      <c r="AN31" s="201"/>
    </row>
    <row r="32" spans="1:40" x14ac:dyDescent="0.2">
      <c r="A32" s="240"/>
      <c r="B32" s="261"/>
      <c r="C32" s="264"/>
      <c r="D32" s="264"/>
      <c r="E32" s="264"/>
      <c r="F32" s="248"/>
      <c r="G32" s="248"/>
      <c r="H32" s="248"/>
      <c r="I32" s="248"/>
      <c r="J32" s="248"/>
      <c r="K32" s="248"/>
      <c r="L32" s="248"/>
      <c r="M32" s="248"/>
      <c r="N32" s="248"/>
      <c r="O32" s="248"/>
      <c r="P32" s="248"/>
      <c r="Q32" s="248"/>
      <c r="R32" s="248"/>
      <c r="S32" s="248"/>
      <c r="T32" s="248"/>
      <c r="U32" s="248"/>
      <c r="V32" s="248"/>
      <c r="W32" s="248"/>
      <c r="X32" s="248"/>
      <c r="Y32" s="248"/>
      <c r="Z32" s="248"/>
      <c r="AA32" s="248"/>
      <c r="AB32" s="248"/>
      <c r="AC32" s="248"/>
      <c r="AD32" s="248"/>
      <c r="AE32" s="248"/>
      <c r="AF32" s="251"/>
      <c r="AH32" s="270"/>
      <c r="AI32" s="217"/>
      <c r="AJ32" s="217"/>
      <c r="AK32" s="120"/>
      <c r="AL32" s="42"/>
      <c r="AM32" s="200"/>
      <c r="AN32" s="201"/>
    </row>
    <row r="33" spans="1:40" x14ac:dyDescent="0.2">
      <c r="A33" s="241"/>
      <c r="B33" s="262"/>
      <c r="C33" s="265"/>
      <c r="D33" s="265"/>
      <c r="E33" s="265"/>
      <c r="F33" s="249"/>
      <c r="G33" s="249"/>
      <c r="H33" s="249"/>
      <c r="I33" s="249"/>
      <c r="J33" s="249"/>
      <c r="K33" s="249"/>
      <c r="L33" s="249"/>
      <c r="M33" s="249"/>
      <c r="N33" s="249"/>
      <c r="O33" s="249"/>
      <c r="P33" s="249"/>
      <c r="Q33" s="249"/>
      <c r="R33" s="249"/>
      <c r="S33" s="249"/>
      <c r="T33" s="249"/>
      <c r="U33" s="249"/>
      <c r="V33" s="249"/>
      <c r="W33" s="249"/>
      <c r="X33" s="249"/>
      <c r="Y33" s="249"/>
      <c r="Z33" s="249"/>
      <c r="AA33" s="249"/>
      <c r="AB33" s="249"/>
      <c r="AC33" s="249"/>
      <c r="AD33" s="249"/>
      <c r="AE33" s="249"/>
      <c r="AF33" s="252"/>
      <c r="AH33" s="271"/>
      <c r="AI33" s="217"/>
      <c r="AJ33" s="217"/>
      <c r="AK33" s="120"/>
      <c r="AL33" s="46"/>
      <c r="AM33" s="200"/>
      <c r="AN33" s="201"/>
    </row>
    <row r="34" spans="1:40" x14ac:dyDescent="0.2">
      <c r="A34" s="24">
        <v>66414</v>
      </c>
      <c r="B34" s="260"/>
      <c r="C34" s="263"/>
      <c r="D34" s="263"/>
      <c r="E34" s="263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  <c r="U34" s="247"/>
      <c r="V34" s="247"/>
      <c r="W34" s="247"/>
      <c r="X34" s="247"/>
      <c r="Y34" s="247"/>
      <c r="Z34" s="247"/>
      <c r="AA34" s="247"/>
      <c r="AB34" s="247"/>
      <c r="AC34" s="247"/>
      <c r="AD34" s="247"/>
      <c r="AE34" s="247"/>
      <c r="AF34" s="250"/>
      <c r="AH34" s="269">
        <f>SUM(B34:AF34)</f>
        <v>0</v>
      </c>
      <c r="AI34" s="216">
        <f>IFERROR(VLOOKUP($A34,'外出交通費精算明細書 (3段)'!$AD$13:$AE$48,2,FALSE),0)+IFERROR(VLOOKUP($A34,'外出交通費精算明細書 (4段)'!$AD$13:$AE$48,2,FALSE),0)</f>
        <v>0</v>
      </c>
      <c r="AJ34" s="217"/>
      <c r="AK34" s="120"/>
      <c r="AL34" s="42"/>
      <c r="AM34" s="200"/>
      <c r="AN34" s="201"/>
    </row>
    <row r="35" spans="1:40" x14ac:dyDescent="0.2">
      <c r="A35" s="240" t="s">
        <v>138</v>
      </c>
      <c r="B35" s="261"/>
      <c r="C35" s="264"/>
      <c r="D35" s="264"/>
      <c r="E35" s="264"/>
      <c r="F35" s="248"/>
      <c r="G35" s="248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  <c r="T35" s="248"/>
      <c r="U35" s="248"/>
      <c r="V35" s="248"/>
      <c r="W35" s="248"/>
      <c r="X35" s="248"/>
      <c r="Y35" s="248"/>
      <c r="Z35" s="248"/>
      <c r="AA35" s="248"/>
      <c r="AB35" s="248"/>
      <c r="AC35" s="248"/>
      <c r="AD35" s="248"/>
      <c r="AE35" s="248"/>
      <c r="AF35" s="251"/>
      <c r="AH35" s="270"/>
      <c r="AI35" s="217"/>
      <c r="AJ35" s="217"/>
      <c r="AK35" s="120"/>
      <c r="AL35" s="42"/>
      <c r="AM35" s="200"/>
      <c r="AN35" s="201"/>
    </row>
    <row r="36" spans="1:40" x14ac:dyDescent="0.2">
      <c r="A36" s="240"/>
      <c r="B36" s="261"/>
      <c r="C36" s="264"/>
      <c r="D36" s="264"/>
      <c r="E36" s="264"/>
      <c r="F36" s="248"/>
      <c r="G36" s="248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8"/>
      <c r="T36" s="248"/>
      <c r="U36" s="248"/>
      <c r="V36" s="248"/>
      <c r="W36" s="248"/>
      <c r="X36" s="248"/>
      <c r="Y36" s="248"/>
      <c r="Z36" s="248"/>
      <c r="AA36" s="248"/>
      <c r="AB36" s="248"/>
      <c r="AC36" s="248"/>
      <c r="AD36" s="248"/>
      <c r="AE36" s="248"/>
      <c r="AF36" s="251"/>
      <c r="AH36" s="270"/>
      <c r="AI36" s="217"/>
      <c r="AJ36" s="217"/>
      <c r="AK36" s="120"/>
      <c r="AL36" s="42"/>
      <c r="AM36" s="200"/>
      <c r="AN36" s="201"/>
    </row>
    <row r="37" spans="1:40" x14ac:dyDescent="0.2">
      <c r="A37" s="241"/>
      <c r="B37" s="262"/>
      <c r="C37" s="265"/>
      <c r="D37" s="265"/>
      <c r="E37" s="265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49"/>
      <c r="Q37" s="249"/>
      <c r="R37" s="249"/>
      <c r="S37" s="249"/>
      <c r="T37" s="249"/>
      <c r="U37" s="249"/>
      <c r="V37" s="249"/>
      <c r="W37" s="249"/>
      <c r="X37" s="249"/>
      <c r="Y37" s="249"/>
      <c r="Z37" s="249"/>
      <c r="AA37" s="249"/>
      <c r="AB37" s="249"/>
      <c r="AC37" s="249"/>
      <c r="AD37" s="249"/>
      <c r="AE37" s="249"/>
      <c r="AF37" s="252"/>
      <c r="AH37" s="271"/>
      <c r="AI37" s="217"/>
      <c r="AJ37" s="217"/>
      <c r="AK37" s="120"/>
      <c r="AL37" s="42"/>
      <c r="AM37" s="200"/>
      <c r="AN37" s="201"/>
    </row>
    <row r="38" spans="1:40" x14ac:dyDescent="0.2">
      <c r="A38" s="24"/>
      <c r="B38" s="260"/>
      <c r="C38" s="263"/>
      <c r="D38" s="263"/>
      <c r="E38" s="263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  <c r="U38" s="247"/>
      <c r="V38" s="247"/>
      <c r="W38" s="247"/>
      <c r="X38" s="247"/>
      <c r="Y38" s="247"/>
      <c r="Z38" s="247"/>
      <c r="AA38" s="247"/>
      <c r="AB38" s="247"/>
      <c r="AC38" s="247"/>
      <c r="AD38" s="247"/>
      <c r="AE38" s="247"/>
      <c r="AF38" s="250"/>
      <c r="AH38" s="269">
        <f>SUM(B38:AF38)</f>
        <v>0</v>
      </c>
      <c r="AI38" s="216">
        <f>IFERROR(VLOOKUP($A38,'外出交通費精算明細書 (3段)'!$AD$13:$AE$48,2,FALSE),0)+IFERROR(VLOOKUP($A38,'外出交通費精算明細書 (4段)'!$AD$13:$AE$48,2,FALSE),0)</f>
        <v>0</v>
      </c>
      <c r="AJ38" s="217"/>
      <c r="AK38" s="120"/>
      <c r="AL38" s="42"/>
      <c r="AM38" s="200"/>
      <c r="AN38" s="201"/>
    </row>
    <row r="39" spans="1:40" x14ac:dyDescent="0.2">
      <c r="A39" s="240"/>
      <c r="B39" s="261"/>
      <c r="C39" s="264"/>
      <c r="D39" s="264"/>
      <c r="E39" s="264"/>
      <c r="F39" s="248"/>
      <c r="G39" s="248"/>
      <c r="H39" s="248"/>
      <c r="I39" s="248"/>
      <c r="J39" s="248"/>
      <c r="K39" s="248"/>
      <c r="L39" s="248"/>
      <c r="M39" s="248"/>
      <c r="N39" s="248"/>
      <c r="O39" s="248"/>
      <c r="P39" s="248"/>
      <c r="Q39" s="248"/>
      <c r="R39" s="248"/>
      <c r="S39" s="248"/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51"/>
      <c r="AH39" s="270"/>
      <c r="AI39" s="217"/>
      <c r="AJ39" s="217"/>
      <c r="AK39" s="120"/>
      <c r="AL39" s="42"/>
      <c r="AM39" s="200"/>
      <c r="AN39" s="201"/>
    </row>
    <row r="40" spans="1:40" x14ac:dyDescent="0.2">
      <c r="A40" s="240"/>
      <c r="B40" s="261"/>
      <c r="C40" s="264"/>
      <c r="D40" s="264"/>
      <c r="E40" s="264"/>
      <c r="F40" s="248"/>
      <c r="G40" s="248"/>
      <c r="H40" s="248"/>
      <c r="I40" s="248"/>
      <c r="J40" s="248"/>
      <c r="K40" s="248"/>
      <c r="L40" s="248"/>
      <c r="M40" s="248"/>
      <c r="N40" s="248"/>
      <c r="O40" s="248"/>
      <c r="P40" s="248"/>
      <c r="Q40" s="248"/>
      <c r="R40" s="248"/>
      <c r="S40" s="248"/>
      <c r="T40" s="248"/>
      <c r="U40" s="248"/>
      <c r="V40" s="248"/>
      <c r="W40" s="248"/>
      <c r="X40" s="248"/>
      <c r="Y40" s="248"/>
      <c r="Z40" s="248"/>
      <c r="AA40" s="248"/>
      <c r="AB40" s="248"/>
      <c r="AC40" s="248"/>
      <c r="AD40" s="248"/>
      <c r="AE40" s="248"/>
      <c r="AF40" s="251"/>
      <c r="AH40" s="270"/>
      <c r="AI40" s="217"/>
      <c r="AJ40" s="217"/>
      <c r="AK40" s="120"/>
      <c r="AL40" s="42"/>
      <c r="AM40" s="200"/>
      <c r="AN40" s="201"/>
    </row>
    <row r="41" spans="1:40" x14ac:dyDescent="0.2">
      <c r="A41" s="241"/>
      <c r="B41" s="262"/>
      <c r="C41" s="265"/>
      <c r="D41" s="265"/>
      <c r="E41" s="265"/>
      <c r="F41" s="249"/>
      <c r="G41" s="249"/>
      <c r="H41" s="249"/>
      <c r="I41" s="249"/>
      <c r="J41" s="249"/>
      <c r="K41" s="249"/>
      <c r="L41" s="249"/>
      <c r="M41" s="249"/>
      <c r="N41" s="249"/>
      <c r="O41" s="249"/>
      <c r="P41" s="249"/>
      <c r="Q41" s="249"/>
      <c r="R41" s="249"/>
      <c r="S41" s="249"/>
      <c r="T41" s="249"/>
      <c r="U41" s="249"/>
      <c r="V41" s="249"/>
      <c r="W41" s="249"/>
      <c r="X41" s="249"/>
      <c r="Y41" s="249"/>
      <c r="Z41" s="249"/>
      <c r="AA41" s="249"/>
      <c r="AB41" s="249"/>
      <c r="AC41" s="249"/>
      <c r="AD41" s="249"/>
      <c r="AE41" s="249"/>
      <c r="AF41" s="252"/>
      <c r="AH41" s="271"/>
      <c r="AI41" s="217"/>
      <c r="AJ41" s="217"/>
      <c r="AK41" s="120"/>
      <c r="AL41" s="42"/>
      <c r="AM41" s="200"/>
      <c r="AN41" s="201"/>
    </row>
    <row r="42" spans="1:40" x14ac:dyDescent="0.2">
      <c r="A42" s="24"/>
      <c r="B42" s="260"/>
      <c r="C42" s="263"/>
      <c r="D42" s="263"/>
      <c r="E42" s="263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  <c r="U42" s="247"/>
      <c r="V42" s="247"/>
      <c r="W42" s="247"/>
      <c r="X42" s="247"/>
      <c r="Y42" s="247"/>
      <c r="Z42" s="247"/>
      <c r="AA42" s="247"/>
      <c r="AB42" s="247"/>
      <c r="AC42" s="247"/>
      <c r="AD42" s="247"/>
      <c r="AE42" s="247"/>
      <c r="AF42" s="250"/>
      <c r="AH42" s="269">
        <f>SUM(B42:AF42)</f>
        <v>0</v>
      </c>
      <c r="AI42" s="216">
        <f>IFERROR(VLOOKUP($A42,'外出交通費精算明細書 (3段)'!$AD$13:$AE$48,2,FALSE),0)+IFERROR(VLOOKUP($A42,'外出交通費精算明細書 (4段)'!$AD$13:$AE$48,2,FALSE),0)</f>
        <v>0</v>
      </c>
      <c r="AJ42" s="217"/>
      <c r="AK42" s="120"/>
      <c r="AL42" s="42"/>
      <c r="AM42" s="200"/>
      <c r="AN42" s="201"/>
    </row>
    <row r="43" spans="1:40" x14ac:dyDescent="0.2">
      <c r="A43" s="240"/>
      <c r="B43" s="261"/>
      <c r="C43" s="264"/>
      <c r="D43" s="264"/>
      <c r="E43" s="264"/>
      <c r="F43" s="248"/>
      <c r="G43" s="248"/>
      <c r="H43" s="248"/>
      <c r="I43" s="248"/>
      <c r="J43" s="248"/>
      <c r="K43" s="248"/>
      <c r="L43" s="248"/>
      <c r="M43" s="248"/>
      <c r="N43" s="248"/>
      <c r="O43" s="248"/>
      <c r="P43" s="248"/>
      <c r="Q43" s="248"/>
      <c r="R43" s="248"/>
      <c r="S43" s="248"/>
      <c r="T43" s="248"/>
      <c r="U43" s="248"/>
      <c r="V43" s="248"/>
      <c r="W43" s="248"/>
      <c r="X43" s="248"/>
      <c r="Y43" s="248"/>
      <c r="Z43" s="248"/>
      <c r="AA43" s="248"/>
      <c r="AB43" s="248"/>
      <c r="AC43" s="248"/>
      <c r="AD43" s="248"/>
      <c r="AE43" s="248"/>
      <c r="AF43" s="251"/>
      <c r="AH43" s="270"/>
      <c r="AI43" s="217"/>
      <c r="AJ43" s="217"/>
      <c r="AK43" s="120"/>
      <c r="AL43" s="42"/>
      <c r="AM43" s="200"/>
      <c r="AN43" s="201"/>
    </row>
    <row r="44" spans="1:40" x14ac:dyDescent="0.2">
      <c r="A44" s="240"/>
      <c r="B44" s="261"/>
      <c r="C44" s="264"/>
      <c r="D44" s="264"/>
      <c r="E44" s="264"/>
      <c r="F44" s="248"/>
      <c r="G44" s="248"/>
      <c r="H44" s="248"/>
      <c r="I44" s="248"/>
      <c r="J44" s="248"/>
      <c r="K44" s="248"/>
      <c r="L44" s="248"/>
      <c r="M44" s="248"/>
      <c r="N44" s="248"/>
      <c r="O44" s="248"/>
      <c r="P44" s="248"/>
      <c r="Q44" s="248"/>
      <c r="R44" s="248"/>
      <c r="S44" s="248"/>
      <c r="T44" s="248"/>
      <c r="U44" s="248"/>
      <c r="V44" s="248"/>
      <c r="W44" s="248"/>
      <c r="X44" s="248"/>
      <c r="Y44" s="248"/>
      <c r="Z44" s="248"/>
      <c r="AA44" s="248"/>
      <c r="AB44" s="248"/>
      <c r="AC44" s="248"/>
      <c r="AD44" s="248"/>
      <c r="AE44" s="248"/>
      <c r="AF44" s="251"/>
      <c r="AH44" s="270"/>
      <c r="AI44" s="217"/>
      <c r="AJ44" s="217"/>
      <c r="AK44" s="120"/>
      <c r="AL44" s="42"/>
      <c r="AM44" s="200"/>
      <c r="AN44" s="201"/>
    </row>
    <row r="45" spans="1:40" x14ac:dyDescent="0.2">
      <c r="A45" s="241"/>
      <c r="B45" s="262"/>
      <c r="C45" s="265"/>
      <c r="D45" s="265"/>
      <c r="E45" s="265"/>
      <c r="F45" s="249"/>
      <c r="G45" s="249"/>
      <c r="H45" s="249"/>
      <c r="I45" s="249"/>
      <c r="J45" s="249"/>
      <c r="K45" s="249"/>
      <c r="L45" s="249"/>
      <c r="M45" s="249"/>
      <c r="N45" s="249"/>
      <c r="O45" s="249"/>
      <c r="P45" s="249"/>
      <c r="Q45" s="249"/>
      <c r="R45" s="249"/>
      <c r="S45" s="249"/>
      <c r="T45" s="249"/>
      <c r="U45" s="249"/>
      <c r="V45" s="249"/>
      <c r="W45" s="249"/>
      <c r="X45" s="249"/>
      <c r="Y45" s="249"/>
      <c r="Z45" s="249"/>
      <c r="AA45" s="249"/>
      <c r="AB45" s="249"/>
      <c r="AC45" s="249"/>
      <c r="AD45" s="249"/>
      <c r="AE45" s="249"/>
      <c r="AF45" s="252"/>
      <c r="AH45" s="271"/>
      <c r="AI45" s="217"/>
      <c r="AJ45" s="217"/>
      <c r="AK45" s="120"/>
      <c r="AL45" s="42"/>
      <c r="AM45" s="200"/>
      <c r="AN45" s="201"/>
    </row>
    <row r="46" spans="1:40" x14ac:dyDescent="0.2">
      <c r="A46" s="24"/>
      <c r="B46" s="260"/>
      <c r="C46" s="263"/>
      <c r="D46" s="263"/>
      <c r="E46" s="263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  <c r="U46" s="247"/>
      <c r="V46" s="247"/>
      <c r="W46" s="247"/>
      <c r="X46" s="247"/>
      <c r="Y46" s="247"/>
      <c r="Z46" s="247"/>
      <c r="AA46" s="247"/>
      <c r="AB46" s="247"/>
      <c r="AC46" s="247"/>
      <c r="AD46" s="247"/>
      <c r="AE46" s="247"/>
      <c r="AF46" s="250"/>
      <c r="AH46" s="269">
        <f>SUM(B46:AF46)</f>
        <v>0</v>
      </c>
      <c r="AI46" s="216">
        <f>IFERROR(VLOOKUP($A46,'外出交通費精算明細書 (3段)'!$AD$13:$AE$48,2,FALSE),0)+IFERROR(VLOOKUP($A46,'外出交通費精算明細書 (4段)'!$AD$13:$AE$48,2,FALSE),0)</f>
        <v>0</v>
      </c>
      <c r="AJ46" s="217"/>
      <c r="AK46" s="120"/>
      <c r="AL46" s="42"/>
      <c r="AM46" s="200"/>
      <c r="AN46" s="201"/>
    </row>
    <row r="47" spans="1:40" x14ac:dyDescent="0.2">
      <c r="A47" s="240"/>
      <c r="B47" s="261"/>
      <c r="C47" s="264"/>
      <c r="D47" s="264"/>
      <c r="E47" s="264"/>
      <c r="F47" s="248"/>
      <c r="G47" s="248"/>
      <c r="H47" s="248"/>
      <c r="I47" s="248"/>
      <c r="J47" s="248"/>
      <c r="K47" s="248"/>
      <c r="L47" s="248"/>
      <c r="M47" s="248"/>
      <c r="N47" s="248"/>
      <c r="O47" s="248"/>
      <c r="P47" s="248"/>
      <c r="Q47" s="248"/>
      <c r="R47" s="248"/>
      <c r="S47" s="248"/>
      <c r="T47" s="248"/>
      <c r="U47" s="248"/>
      <c r="V47" s="248"/>
      <c r="W47" s="248"/>
      <c r="X47" s="248"/>
      <c r="Y47" s="248"/>
      <c r="Z47" s="248"/>
      <c r="AA47" s="248"/>
      <c r="AB47" s="248"/>
      <c r="AC47" s="248"/>
      <c r="AD47" s="248"/>
      <c r="AE47" s="248"/>
      <c r="AF47" s="251"/>
      <c r="AH47" s="270"/>
      <c r="AI47" s="217"/>
      <c r="AJ47" s="217"/>
      <c r="AK47" s="120"/>
      <c r="AL47" s="42"/>
      <c r="AM47" s="200"/>
      <c r="AN47" s="201"/>
    </row>
    <row r="48" spans="1:40" x14ac:dyDescent="0.2">
      <c r="A48" s="240"/>
      <c r="B48" s="261"/>
      <c r="C48" s="264"/>
      <c r="D48" s="264"/>
      <c r="E48" s="264"/>
      <c r="F48" s="248"/>
      <c r="G48" s="248"/>
      <c r="H48" s="248"/>
      <c r="I48" s="248"/>
      <c r="J48" s="248"/>
      <c r="K48" s="248"/>
      <c r="L48" s="248"/>
      <c r="M48" s="248"/>
      <c r="N48" s="248"/>
      <c r="O48" s="248"/>
      <c r="P48" s="248"/>
      <c r="Q48" s="248"/>
      <c r="R48" s="248"/>
      <c r="S48" s="248"/>
      <c r="T48" s="248"/>
      <c r="U48" s="248"/>
      <c r="V48" s="248"/>
      <c r="W48" s="248"/>
      <c r="X48" s="248"/>
      <c r="Y48" s="248"/>
      <c r="Z48" s="248"/>
      <c r="AA48" s="248"/>
      <c r="AB48" s="248"/>
      <c r="AC48" s="248"/>
      <c r="AD48" s="248"/>
      <c r="AE48" s="248"/>
      <c r="AF48" s="251"/>
      <c r="AH48" s="270"/>
      <c r="AI48" s="217"/>
      <c r="AJ48" s="217"/>
      <c r="AK48" s="120"/>
      <c r="AL48" s="42"/>
      <c r="AM48" s="200"/>
      <c r="AN48" s="201"/>
    </row>
    <row r="49" spans="1:40" x14ac:dyDescent="0.2">
      <c r="A49" s="241"/>
      <c r="B49" s="262"/>
      <c r="C49" s="265"/>
      <c r="D49" s="265"/>
      <c r="E49" s="265"/>
      <c r="F49" s="249"/>
      <c r="G49" s="249"/>
      <c r="H49" s="249"/>
      <c r="I49" s="249"/>
      <c r="J49" s="249"/>
      <c r="K49" s="249"/>
      <c r="L49" s="249"/>
      <c r="M49" s="249"/>
      <c r="N49" s="249"/>
      <c r="O49" s="249"/>
      <c r="P49" s="249"/>
      <c r="Q49" s="249"/>
      <c r="R49" s="249"/>
      <c r="S49" s="249"/>
      <c r="T49" s="249"/>
      <c r="U49" s="249"/>
      <c r="V49" s="249"/>
      <c r="W49" s="249"/>
      <c r="X49" s="249"/>
      <c r="Y49" s="249"/>
      <c r="Z49" s="249"/>
      <c r="AA49" s="249"/>
      <c r="AB49" s="249"/>
      <c r="AC49" s="249"/>
      <c r="AD49" s="249"/>
      <c r="AE49" s="249"/>
      <c r="AF49" s="252"/>
      <c r="AH49" s="271"/>
      <c r="AI49" s="217"/>
      <c r="AJ49" s="217"/>
      <c r="AK49" s="120"/>
      <c r="AL49" s="42"/>
      <c r="AM49" s="200"/>
      <c r="AN49" s="201"/>
    </row>
    <row r="50" spans="1:40" x14ac:dyDescent="0.2">
      <c r="A50" s="24"/>
      <c r="B50" s="260"/>
      <c r="C50" s="263"/>
      <c r="D50" s="263"/>
      <c r="E50" s="263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  <c r="U50" s="247"/>
      <c r="V50" s="247"/>
      <c r="W50" s="247"/>
      <c r="X50" s="247"/>
      <c r="Y50" s="247"/>
      <c r="Z50" s="247"/>
      <c r="AA50" s="247"/>
      <c r="AB50" s="247"/>
      <c r="AC50" s="247"/>
      <c r="AD50" s="247"/>
      <c r="AE50" s="247"/>
      <c r="AF50" s="250"/>
      <c r="AH50" s="269">
        <f>SUM(B50:AF50)</f>
        <v>0</v>
      </c>
      <c r="AI50" s="216">
        <f>IFERROR(VLOOKUP($A50,'外出交通費精算明細書 (3段)'!$AD$13:$AE$48,2,FALSE),0)+IFERROR(VLOOKUP($A50,'外出交通費精算明細書 (4段)'!$AD$13:$AE$48,2,FALSE),0)</f>
        <v>0</v>
      </c>
      <c r="AJ50" s="217"/>
      <c r="AK50" s="120"/>
      <c r="AL50" s="42"/>
      <c r="AM50" s="200"/>
      <c r="AN50" s="201"/>
    </row>
    <row r="51" spans="1:40" x14ac:dyDescent="0.2">
      <c r="A51" s="240"/>
      <c r="B51" s="261"/>
      <c r="C51" s="264"/>
      <c r="D51" s="264"/>
      <c r="E51" s="264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248"/>
      <c r="X51" s="248"/>
      <c r="Y51" s="248"/>
      <c r="Z51" s="248"/>
      <c r="AA51" s="248"/>
      <c r="AB51" s="248"/>
      <c r="AC51" s="248"/>
      <c r="AD51" s="248"/>
      <c r="AE51" s="248"/>
      <c r="AF51" s="251"/>
      <c r="AH51" s="270"/>
      <c r="AI51" s="217"/>
      <c r="AJ51" s="217"/>
      <c r="AK51" s="120"/>
      <c r="AL51" s="42"/>
      <c r="AM51" s="200"/>
      <c r="AN51" s="201"/>
    </row>
    <row r="52" spans="1:40" x14ac:dyDescent="0.2">
      <c r="A52" s="240"/>
      <c r="B52" s="261"/>
      <c r="C52" s="264"/>
      <c r="D52" s="264"/>
      <c r="E52" s="264"/>
      <c r="F52" s="248"/>
      <c r="G52" s="248"/>
      <c r="H52" s="248"/>
      <c r="I52" s="248"/>
      <c r="J52" s="248"/>
      <c r="K52" s="248"/>
      <c r="L52" s="248"/>
      <c r="M52" s="248"/>
      <c r="N52" s="248"/>
      <c r="O52" s="248"/>
      <c r="P52" s="248"/>
      <c r="Q52" s="248"/>
      <c r="R52" s="248"/>
      <c r="S52" s="248"/>
      <c r="T52" s="248"/>
      <c r="U52" s="248"/>
      <c r="V52" s="248"/>
      <c r="W52" s="248"/>
      <c r="X52" s="248"/>
      <c r="Y52" s="248"/>
      <c r="Z52" s="248"/>
      <c r="AA52" s="248"/>
      <c r="AB52" s="248"/>
      <c r="AC52" s="248"/>
      <c r="AD52" s="248"/>
      <c r="AE52" s="248"/>
      <c r="AF52" s="251"/>
      <c r="AH52" s="270"/>
      <c r="AI52" s="217"/>
      <c r="AJ52" s="217"/>
      <c r="AK52" s="120"/>
      <c r="AL52" s="42"/>
      <c r="AM52" s="200"/>
      <c r="AN52" s="201"/>
    </row>
    <row r="53" spans="1:40" x14ac:dyDescent="0.2">
      <c r="A53" s="241"/>
      <c r="B53" s="262"/>
      <c r="C53" s="265"/>
      <c r="D53" s="265"/>
      <c r="E53" s="265"/>
      <c r="F53" s="249"/>
      <c r="G53" s="249"/>
      <c r="H53" s="249"/>
      <c r="I53" s="249"/>
      <c r="J53" s="249"/>
      <c r="K53" s="249"/>
      <c r="L53" s="249"/>
      <c r="M53" s="249"/>
      <c r="N53" s="249"/>
      <c r="O53" s="249"/>
      <c r="P53" s="249"/>
      <c r="Q53" s="249"/>
      <c r="R53" s="249"/>
      <c r="S53" s="249"/>
      <c r="T53" s="249"/>
      <c r="U53" s="249"/>
      <c r="V53" s="249"/>
      <c r="W53" s="249"/>
      <c r="X53" s="249"/>
      <c r="Y53" s="249"/>
      <c r="Z53" s="249"/>
      <c r="AA53" s="249"/>
      <c r="AB53" s="249"/>
      <c r="AC53" s="249"/>
      <c r="AD53" s="249"/>
      <c r="AE53" s="249"/>
      <c r="AF53" s="252"/>
      <c r="AH53" s="271"/>
      <c r="AI53" s="217"/>
      <c r="AJ53" s="217"/>
      <c r="AK53" s="120"/>
      <c r="AL53" s="42"/>
      <c r="AM53" s="200"/>
      <c r="AN53" s="201"/>
    </row>
    <row r="54" spans="1:40" x14ac:dyDescent="0.2">
      <c r="A54" s="24"/>
      <c r="B54" s="260"/>
      <c r="C54" s="263"/>
      <c r="D54" s="263"/>
      <c r="E54" s="263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  <c r="U54" s="247"/>
      <c r="V54" s="247"/>
      <c r="W54" s="247"/>
      <c r="X54" s="247"/>
      <c r="Y54" s="247"/>
      <c r="Z54" s="247"/>
      <c r="AA54" s="247"/>
      <c r="AB54" s="247"/>
      <c r="AC54" s="247"/>
      <c r="AD54" s="247"/>
      <c r="AE54" s="247"/>
      <c r="AF54" s="250"/>
      <c r="AH54" s="269">
        <f>SUM(B54:AF54)</f>
        <v>0</v>
      </c>
      <c r="AI54" s="216">
        <f>IFERROR(VLOOKUP($A54,'外出交通費精算明細書 (3段)'!$AD$13:$AE$48,2,FALSE),0)+IFERROR(VLOOKUP($A54,'外出交通費精算明細書 (4段)'!$AD$13:$AE$48,2,FALSE),0)</f>
        <v>0</v>
      </c>
      <c r="AJ54" s="217"/>
      <c r="AK54" s="120"/>
      <c r="AL54" s="42"/>
      <c r="AM54" s="200"/>
      <c r="AN54" s="201"/>
    </row>
    <row r="55" spans="1:40" x14ac:dyDescent="0.2">
      <c r="A55" s="240"/>
      <c r="B55" s="261"/>
      <c r="C55" s="264"/>
      <c r="D55" s="264"/>
      <c r="E55" s="264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248"/>
      <c r="X55" s="248"/>
      <c r="Y55" s="248"/>
      <c r="Z55" s="248"/>
      <c r="AA55" s="248"/>
      <c r="AB55" s="248"/>
      <c r="AC55" s="248"/>
      <c r="AD55" s="248"/>
      <c r="AE55" s="248"/>
      <c r="AF55" s="251"/>
      <c r="AH55" s="270"/>
      <c r="AI55" s="217"/>
      <c r="AJ55" s="217"/>
      <c r="AK55" s="120"/>
      <c r="AL55" s="42"/>
      <c r="AM55" s="200"/>
      <c r="AN55" s="201"/>
    </row>
    <row r="56" spans="1:40" x14ac:dyDescent="0.2">
      <c r="A56" s="240"/>
      <c r="B56" s="261"/>
      <c r="C56" s="264"/>
      <c r="D56" s="264"/>
      <c r="E56" s="264"/>
      <c r="F56" s="248"/>
      <c r="G56" s="248"/>
      <c r="H56" s="248"/>
      <c r="I56" s="248"/>
      <c r="J56" s="248"/>
      <c r="K56" s="248"/>
      <c r="L56" s="248"/>
      <c r="M56" s="248"/>
      <c r="N56" s="248"/>
      <c r="O56" s="248"/>
      <c r="P56" s="248"/>
      <c r="Q56" s="248"/>
      <c r="R56" s="248"/>
      <c r="S56" s="248"/>
      <c r="T56" s="248"/>
      <c r="U56" s="248"/>
      <c r="V56" s="248"/>
      <c r="W56" s="248"/>
      <c r="X56" s="248"/>
      <c r="Y56" s="248"/>
      <c r="Z56" s="248"/>
      <c r="AA56" s="248"/>
      <c r="AB56" s="248"/>
      <c r="AC56" s="248"/>
      <c r="AD56" s="248"/>
      <c r="AE56" s="248"/>
      <c r="AF56" s="251"/>
      <c r="AH56" s="270"/>
      <c r="AI56" s="217"/>
      <c r="AJ56" s="217"/>
      <c r="AK56" s="120"/>
      <c r="AL56" s="42"/>
      <c r="AM56" s="200"/>
      <c r="AN56" s="201"/>
    </row>
    <row r="57" spans="1:40" x14ac:dyDescent="0.2">
      <c r="A57" s="241"/>
      <c r="B57" s="262"/>
      <c r="C57" s="265"/>
      <c r="D57" s="265"/>
      <c r="E57" s="265"/>
      <c r="F57" s="249"/>
      <c r="G57" s="249"/>
      <c r="H57" s="249"/>
      <c r="I57" s="249"/>
      <c r="J57" s="249"/>
      <c r="K57" s="249"/>
      <c r="L57" s="249"/>
      <c r="M57" s="249"/>
      <c r="N57" s="249"/>
      <c r="O57" s="249"/>
      <c r="P57" s="249"/>
      <c r="Q57" s="249"/>
      <c r="R57" s="249"/>
      <c r="S57" s="249"/>
      <c r="T57" s="249"/>
      <c r="U57" s="249"/>
      <c r="V57" s="249"/>
      <c r="W57" s="249"/>
      <c r="X57" s="249"/>
      <c r="Y57" s="249"/>
      <c r="Z57" s="249"/>
      <c r="AA57" s="249"/>
      <c r="AB57" s="249"/>
      <c r="AC57" s="249"/>
      <c r="AD57" s="249"/>
      <c r="AE57" s="249"/>
      <c r="AF57" s="252"/>
      <c r="AH57" s="271"/>
      <c r="AI57" s="217"/>
      <c r="AJ57" s="217"/>
      <c r="AK57" s="120"/>
      <c r="AL57" s="42"/>
      <c r="AM57" s="200"/>
      <c r="AN57" s="201"/>
    </row>
    <row r="58" spans="1:40" x14ac:dyDescent="0.2">
      <c r="A58" s="24"/>
      <c r="B58" s="260"/>
      <c r="C58" s="263"/>
      <c r="D58" s="263"/>
      <c r="E58" s="263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  <c r="U58" s="247"/>
      <c r="V58" s="247"/>
      <c r="W58" s="247"/>
      <c r="X58" s="247"/>
      <c r="Y58" s="247"/>
      <c r="Z58" s="247"/>
      <c r="AA58" s="247"/>
      <c r="AB58" s="247"/>
      <c r="AC58" s="247"/>
      <c r="AD58" s="247"/>
      <c r="AE58" s="247"/>
      <c r="AF58" s="250"/>
      <c r="AH58" s="269">
        <f>SUM(B58:AF58)</f>
        <v>0</v>
      </c>
      <c r="AI58" s="216">
        <f>IFERROR(VLOOKUP($A58,'外出交通費精算明細書 (3段)'!$AD$13:$AE$48,2,FALSE),0)+IFERROR(VLOOKUP($A58,'外出交通費精算明細書 (4段)'!$AD$13:$AE$48,2,FALSE),0)</f>
        <v>0</v>
      </c>
      <c r="AJ58" s="217"/>
      <c r="AK58" s="120"/>
      <c r="AL58" s="42"/>
      <c r="AM58" s="200"/>
      <c r="AN58" s="201"/>
    </row>
    <row r="59" spans="1:40" x14ac:dyDescent="0.2">
      <c r="A59" s="240"/>
      <c r="B59" s="261"/>
      <c r="C59" s="264"/>
      <c r="D59" s="264"/>
      <c r="E59" s="264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248"/>
      <c r="X59" s="248"/>
      <c r="Y59" s="248"/>
      <c r="Z59" s="248"/>
      <c r="AA59" s="248"/>
      <c r="AB59" s="248"/>
      <c r="AC59" s="248"/>
      <c r="AD59" s="248"/>
      <c r="AE59" s="248"/>
      <c r="AF59" s="251"/>
      <c r="AH59" s="270"/>
      <c r="AI59" s="217"/>
      <c r="AJ59" s="217"/>
      <c r="AK59" s="120"/>
      <c r="AL59" s="42"/>
      <c r="AM59" s="200"/>
      <c r="AN59" s="201"/>
    </row>
    <row r="60" spans="1:40" x14ac:dyDescent="0.2">
      <c r="A60" s="240"/>
      <c r="B60" s="261"/>
      <c r="C60" s="264"/>
      <c r="D60" s="264"/>
      <c r="E60" s="264"/>
      <c r="F60" s="248"/>
      <c r="G60" s="248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  <c r="T60" s="248"/>
      <c r="U60" s="248"/>
      <c r="V60" s="248"/>
      <c r="W60" s="248"/>
      <c r="X60" s="248"/>
      <c r="Y60" s="248"/>
      <c r="Z60" s="248"/>
      <c r="AA60" s="248"/>
      <c r="AB60" s="248"/>
      <c r="AC60" s="248"/>
      <c r="AD60" s="248"/>
      <c r="AE60" s="248"/>
      <c r="AF60" s="251"/>
      <c r="AH60" s="270"/>
      <c r="AI60" s="217"/>
      <c r="AJ60" s="217"/>
      <c r="AK60" s="120"/>
      <c r="AL60" s="42"/>
      <c r="AM60" s="200"/>
      <c r="AN60" s="201"/>
    </row>
    <row r="61" spans="1:40" x14ac:dyDescent="0.2">
      <c r="A61" s="241"/>
      <c r="B61" s="262"/>
      <c r="C61" s="265"/>
      <c r="D61" s="265"/>
      <c r="E61" s="265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49"/>
      <c r="AC61" s="249"/>
      <c r="AD61" s="249"/>
      <c r="AE61" s="249"/>
      <c r="AF61" s="252"/>
      <c r="AH61" s="271"/>
      <c r="AI61" s="217"/>
      <c r="AJ61" s="217"/>
      <c r="AK61" s="120"/>
      <c r="AL61" s="42"/>
      <c r="AM61" s="200"/>
      <c r="AN61" s="201"/>
    </row>
    <row r="62" spans="1:40" x14ac:dyDescent="0.2">
      <c r="A62" s="24"/>
      <c r="B62" s="260"/>
      <c r="C62" s="263"/>
      <c r="D62" s="263"/>
      <c r="E62" s="263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  <c r="U62" s="247"/>
      <c r="V62" s="247"/>
      <c r="W62" s="247"/>
      <c r="X62" s="247"/>
      <c r="Y62" s="247"/>
      <c r="Z62" s="247"/>
      <c r="AA62" s="247"/>
      <c r="AB62" s="247"/>
      <c r="AC62" s="247"/>
      <c r="AD62" s="247"/>
      <c r="AE62" s="247"/>
      <c r="AF62" s="250"/>
      <c r="AH62" s="269">
        <f>SUM(B62:AF62)</f>
        <v>0</v>
      </c>
      <c r="AI62" s="216">
        <f>IFERROR(VLOOKUP($A62,'外出交通費精算明細書 (3段)'!$AD$13:$AE$48,2,FALSE),0)+IFERROR(VLOOKUP($A62,'外出交通費精算明細書 (4段)'!$AD$13:$AE$48,2,FALSE),0)</f>
        <v>0</v>
      </c>
      <c r="AJ62" s="217"/>
      <c r="AK62" s="120"/>
      <c r="AL62" s="42"/>
      <c r="AM62" s="200"/>
      <c r="AN62" s="201"/>
    </row>
    <row r="63" spans="1:40" x14ac:dyDescent="0.2">
      <c r="A63" s="240"/>
      <c r="B63" s="261"/>
      <c r="C63" s="264"/>
      <c r="D63" s="264"/>
      <c r="E63" s="264"/>
      <c r="F63" s="248"/>
      <c r="G63" s="248"/>
      <c r="H63" s="248"/>
      <c r="I63" s="248"/>
      <c r="J63" s="248"/>
      <c r="K63" s="248"/>
      <c r="L63" s="248"/>
      <c r="M63" s="248"/>
      <c r="N63" s="248"/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51"/>
      <c r="AH63" s="270"/>
      <c r="AI63" s="217"/>
      <c r="AJ63" s="217"/>
      <c r="AK63" s="120"/>
      <c r="AL63" s="42"/>
      <c r="AM63" s="200"/>
      <c r="AN63" s="201"/>
    </row>
    <row r="64" spans="1:40" x14ac:dyDescent="0.2">
      <c r="A64" s="240"/>
      <c r="B64" s="261"/>
      <c r="C64" s="264"/>
      <c r="D64" s="264"/>
      <c r="E64" s="264"/>
      <c r="F64" s="248"/>
      <c r="G64" s="248"/>
      <c r="H64" s="248"/>
      <c r="I64" s="248"/>
      <c r="J64" s="248"/>
      <c r="K64" s="248"/>
      <c r="L64" s="248"/>
      <c r="M64" s="248"/>
      <c r="N64" s="248"/>
      <c r="O64" s="248"/>
      <c r="P64" s="248"/>
      <c r="Q64" s="248"/>
      <c r="R64" s="248"/>
      <c r="S64" s="248"/>
      <c r="T64" s="248"/>
      <c r="U64" s="248"/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51"/>
      <c r="AH64" s="270"/>
      <c r="AI64" s="217"/>
      <c r="AJ64" s="217"/>
      <c r="AK64" s="120"/>
      <c r="AL64" s="42"/>
      <c r="AM64" s="200"/>
      <c r="AN64" s="201"/>
    </row>
    <row r="65" spans="1:40" x14ac:dyDescent="0.2">
      <c r="A65" s="241"/>
      <c r="B65" s="262"/>
      <c r="C65" s="265"/>
      <c r="D65" s="265"/>
      <c r="E65" s="265"/>
      <c r="F65" s="249"/>
      <c r="G65" s="249"/>
      <c r="H65" s="249"/>
      <c r="I65" s="249"/>
      <c r="J65" s="249"/>
      <c r="K65" s="249"/>
      <c r="L65" s="249"/>
      <c r="M65" s="249"/>
      <c r="N65" s="249"/>
      <c r="O65" s="249"/>
      <c r="P65" s="249"/>
      <c r="Q65" s="249"/>
      <c r="R65" s="249"/>
      <c r="S65" s="249"/>
      <c r="T65" s="249"/>
      <c r="U65" s="249"/>
      <c r="V65" s="249"/>
      <c r="W65" s="249"/>
      <c r="X65" s="249"/>
      <c r="Y65" s="249"/>
      <c r="Z65" s="249"/>
      <c r="AA65" s="249"/>
      <c r="AB65" s="249"/>
      <c r="AC65" s="249"/>
      <c r="AD65" s="249"/>
      <c r="AE65" s="249"/>
      <c r="AF65" s="252"/>
      <c r="AH65" s="271"/>
      <c r="AI65" s="217"/>
      <c r="AJ65" s="217"/>
      <c r="AK65" s="120"/>
      <c r="AL65" s="42"/>
      <c r="AM65" s="200"/>
      <c r="AN65" s="201"/>
    </row>
    <row r="66" spans="1:40" x14ac:dyDescent="0.2">
      <c r="A66" s="24"/>
      <c r="B66" s="260"/>
      <c r="C66" s="263"/>
      <c r="D66" s="263"/>
      <c r="E66" s="263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  <c r="U66" s="247"/>
      <c r="V66" s="247"/>
      <c r="W66" s="247"/>
      <c r="X66" s="247"/>
      <c r="Y66" s="247"/>
      <c r="Z66" s="247"/>
      <c r="AA66" s="247"/>
      <c r="AB66" s="247"/>
      <c r="AC66" s="247"/>
      <c r="AD66" s="247"/>
      <c r="AE66" s="247"/>
      <c r="AF66" s="250"/>
      <c r="AH66" s="269">
        <f>SUM(B66:AF66)</f>
        <v>0</v>
      </c>
      <c r="AI66" s="216">
        <f>IFERROR(VLOOKUP($A66,'外出交通費精算明細書 (3段)'!$AD$13:$AE$48,2,FALSE),0)+IFERROR(VLOOKUP($A66,'外出交通費精算明細書 (4段)'!$AD$13:$AE$48,2,FALSE),0)</f>
        <v>0</v>
      </c>
      <c r="AJ66" s="217"/>
      <c r="AK66" s="120"/>
      <c r="AL66" s="42"/>
      <c r="AM66" s="200"/>
      <c r="AN66" s="201"/>
    </row>
    <row r="67" spans="1:40" x14ac:dyDescent="0.2">
      <c r="A67" s="240"/>
      <c r="B67" s="261"/>
      <c r="C67" s="264"/>
      <c r="D67" s="264"/>
      <c r="E67" s="264"/>
      <c r="F67" s="248"/>
      <c r="G67" s="248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U67" s="248"/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51"/>
      <c r="AH67" s="270"/>
      <c r="AI67" s="217"/>
      <c r="AJ67" s="217"/>
      <c r="AK67" s="120"/>
      <c r="AL67" s="42"/>
      <c r="AM67" s="200"/>
      <c r="AN67" s="201"/>
    </row>
    <row r="68" spans="1:40" x14ac:dyDescent="0.2">
      <c r="A68" s="240"/>
      <c r="B68" s="261"/>
      <c r="C68" s="264"/>
      <c r="D68" s="264"/>
      <c r="E68" s="264"/>
      <c r="F68" s="248"/>
      <c r="G68" s="248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248"/>
      <c r="U68" s="248"/>
      <c r="V68" s="248"/>
      <c r="W68" s="248"/>
      <c r="X68" s="248"/>
      <c r="Y68" s="248"/>
      <c r="Z68" s="248"/>
      <c r="AA68" s="248"/>
      <c r="AB68" s="248"/>
      <c r="AC68" s="248"/>
      <c r="AD68" s="248"/>
      <c r="AE68" s="248"/>
      <c r="AF68" s="251"/>
      <c r="AH68" s="270"/>
      <c r="AI68" s="217"/>
      <c r="AJ68" s="217"/>
      <c r="AK68" s="120"/>
      <c r="AL68" s="42"/>
      <c r="AM68" s="200"/>
      <c r="AN68" s="201"/>
    </row>
    <row r="69" spans="1:40" x14ac:dyDescent="0.2">
      <c r="A69" s="241"/>
      <c r="B69" s="262"/>
      <c r="C69" s="265"/>
      <c r="D69" s="265"/>
      <c r="E69" s="265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49"/>
      <c r="AE69" s="249"/>
      <c r="AF69" s="252"/>
      <c r="AH69" s="271"/>
      <c r="AI69" s="217"/>
      <c r="AJ69" s="217"/>
      <c r="AK69" s="120"/>
      <c r="AL69" s="42"/>
      <c r="AM69" s="200"/>
      <c r="AN69" s="201"/>
    </row>
    <row r="70" spans="1:40" x14ac:dyDescent="0.2">
      <c r="A70" s="24"/>
      <c r="B70" s="260"/>
      <c r="C70" s="263"/>
      <c r="D70" s="263"/>
      <c r="E70" s="263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  <c r="U70" s="247"/>
      <c r="V70" s="247"/>
      <c r="W70" s="247"/>
      <c r="X70" s="247"/>
      <c r="Y70" s="247"/>
      <c r="Z70" s="247"/>
      <c r="AA70" s="247"/>
      <c r="AB70" s="247"/>
      <c r="AC70" s="247"/>
      <c r="AD70" s="247"/>
      <c r="AE70" s="247"/>
      <c r="AF70" s="250"/>
      <c r="AH70" s="269">
        <f>SUM(B70:AF70)</f>
        <v>0</v>
      </c>
      <c r="AI70" s="216">
        <f>IFERROR(VLOOKUP($A70,'外出交通費精算明細書 (3段)'!$AD$13:$AE$48,2,FALSE),0)+IFERROR(VLOOKUP($A70,'外出交通費精算明細書 (4段)'!$AD$13:$AE$48,2,FALSE),0)</f>
        <v>0</v>
      </c>
      <c r="AJ70" s="217"/>
      <c r="AK70" s="120"/>
      <c r="AL70" s="42"/>
      <c r="AM70" s="200"/>
      <c r="AN70" s="201"/>
    </row>
    <row r="71" spans="1:40" x14ac:dyDescent="0.2">
      <c r="A71" s="240"/>
      <c r="B71" s="261"/>
      <c r="C71" s="264"/>
      <c r="D71" s="264"/>
      <c r="E71" s="264"/>
      <c r="F71" s="248"/>
      <c r="G71" s="248"/>
      <c r="H71" s="248"/>
      <c r="I71" s="248"/>
      <c r="J71" s="248"/>
      <c r="K71" s="248"/>
      <c r="L71" s="248"/>
      <c r="M71" s="248"/>
      <c r="N71" s="248"/>
      <c r="O71" s="248"/>
      <c r="P71" s="248"/>
      <c r="Q71" s="248"/>
      <c r="R71" s="248"/>
      <c r="S71" s="248"/>
      <c r="T71" s="248"/>
      <c r="U71" s="248"/>
      <c r="V71" s="248"/>
      <c r="W71" s="248"/>
      <c r="X71" s="248"/>
      <c r="Y71" s="248"/>
      <c r="Z71" s="248"/>
      <c r="AA71" s="248"/>
      <c r="AB71" s="248"/>
      <c r="AC71" s="248"/>
      <c r="AD71" s="248"/>
      <c r="AE71" s="248"/>
      <c r="AF71" s="251"/>
      <c r="AH71" s="270"/>
      <c r="AI71" s="217"/>
      <c r="AJ71" s="217"/>
      <c r="AK71" s="120"/>
      <c r="AL71" s="42"/>
      <c r="AM71" s="200"/>
      <c r="AN71" s="201"/>
    </row>
    <row r="72" spans="1:40" x14ac:dyDescent="0.2">
      <c r="A72" s="240"/>
      <c r="B72" s="261"/>
      <c r="C72" s="264"/>
      <c r="D72" s="264"/>
      <c r="E72" s="264"/>
      <c r="F72" s="248"/>
      <c r="G72" s="248"/>
      <c r="H72" s="248"/>
      <c r="I72" s="248"/>
      <c r="J72" s="248"/>
      <c r="K72" s="248"/>
      <c r="L72" s="248"/>
      <c r="M72" s="248"/>
      <c r="N72" s="248"/>
      <c r="O72" s="248"/>
      <c r="P72" s="248"/>
      <c r="Q72" s="248"/>
      <c r="R72" s="248"/>
      <c r="S72" s="248"/>
      <c r="T72" s="248"/>
      <c r="U72" s="248"/>
      <c r="V72" s="248"/>
      <c r="W72" s="248"/>
      <c r="X72" s="248"/>
      <c r="Y72" s="248"/>
      <c r="Z72" s="248"/>
      <c r="AA72" s="248"/>
      <c r="AB72" s="248"/>
      <c r="AC72" s="248"/>
      <c r="AD72" s="248"/>
      <c r="AE72" s="248"/>
      <c r="AF72" s="251"/>
      <c r="AH72" s="270"/>
      <c r="AI72" s="217"/>
      <c r="AJ72" s="217"/>
      <c r="AK72" s="120"/>
      <c r="AL72" s="42"/>
      <c r="AM72" s="200"/>
      <c r="AN72" s="201"/>
    </row>
    <row r="73" spans="1:40" x14ac:dyDescent="0.2">
      <c r="A73" s="241"/>
      <c r="B73" s="262"/>
      <c r="C73" s="265"/>
      <c r="D73" s="265"/>
      <c r="E73" s="265"/>
      <c r="F73" s="249"/>
      <c r="G73" s="249"/>
      <c r="H73" s="249"/>
      <c r="I73" s="249"/>
      <c r="J73" s="249"/>
      <c r="K73" s="249"/>
      <c r="L73" s="249"/>
      <c r="M73" s="249"/>
      <c r="N73" s="249"/>
      <c r="O73" s="249"/>
      <c r="P73" s="249"/>
      <c r="Q73" s="249"/>
      <c r="R73" s="249"/>
      <c r="S73" s="249"/>
      <c r="T73" s="249"/>
      <c r="U73" s="249"/>
      <c r="V73" s="249"/>
      <c r="W73" s="249"/>
      <c r="X73" s="249"/>
      <c r="Y73" s="249"/>
      <c r="Z73" s="249"/>
      <c r="AA73" s="249"/>
      <c r="AB73" s="249"/>
      <c r="AC73" s="249"/>
      <c r="AD73" s="249"/>
      <c r="AE73" s="249"/>
      <c r="AF73" s="252"/>
      <c r="AH73" s="271"/>
      <c r="AI73" s="217"/>
      <c r="AJ73" s="217"/>
      <c r="AK73" s="120"/>
      <c r="AL73" s="42"/>
      <c r="AM73" s="200"/>
      <c r="AN73" s="201"/>
    </row>
    <row r="74" spans="1:40" x14ac:dyDescent="0.2">
      <c r="A74" s="24"/>
      <c r="B74" s="260"/>
      <c r="C74" s="263"/>
      <c r="D74" s="263"/>
      <c r="E74" s="263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  <c r="U74" s="247"/>
      <c r="V74" s="247"/>
      <c r="W74" s="247"/>
      <c r="X74" s="247"/>
      <c r="Y74" s="247"/>
      <c r="Z74" s="247"/>
      <c r="AA74" s="247"/>
      <c r="AB74" s="247"/>
      <c r="AC74" s="247"/>
      <c r="AD74" s="247"/>
      <c r="AE74" s="247"/>
      <c r="AF74" s="250"/>
      <c r="AH74" s="269">
        <f>SUM(B74:AF74)</f>
        <v>0</v>
      </c>
      <c r="AI74" s="216">
        <f>IFERROR(VLOOKUP($A74,'外出交通費精算明細書 (3段)'!$AD$13:$AE$48,2,FALSE),0)+IFERROR(VLOOKUP($A74,'外出交通費精算明細書 (4段)'!$AD$13:$AE$48,2,FALSE),0)</f>
        <v>0</v>
      </c>
      <c r="AJ74" s="217"/>
      <c r="AK74" s="120"/>
      <c r="AL74" s="42"/>
      <c r="AM74" s="200"/>
      <c r="AN74" s="201"/>
    </row>
    <row r="75" spans="1:40" x14ac:dyDescent="0.2">
      <c r="A75" s="240"/>
      <c r="B75" s="261"/>
      <c r="C75" s="264"/>
      <c r="D75" s="264"/>
      <c r="E75" s="264"/>
      <c r="F75" s="248"/>
      <c r="G75" s="248"/>
      <c r="H75" s="248"/>
      <c r="I75" s="248"/>
      <c r="J75" s="248"/>
      <c r="K75" s="248"/>
      <c r="L75" s="248"/>
      <c r="M75" s="248"/>
      <c r="N75" s="248"/>
      <c r="O75" s="248"/>
      <c r="P75" s="248"/>
      <c r="Q75" s="248"/>
      <c r="R75" s="248"/>
      <c r="S75" s="248"/>
      <c r="T75" s="248"/>
      <c r="U75" s="248"/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51"/>
      <c r="AH75" s="270"/>
      <c r="AI75" s="217"/>
      <c r="AJ75" s="217"/>
      <c r="AK75" s="120"/>
      <c r="AL75" s="42"/>
      <c r="AM75" s="200"/>
      <c r="AN75" s="201"/>
    </row>
    <row r="76" spans="1:40" x14ac:dyDescent="0.2">
      <c r="A76" s="240"/>
      <c r="B76" s="261"/>
      <c r="C76" s="264"/>
      <c r="D76" s="264"/>
      <c r="E76" s="264"/>
      <c r="F76" s="248"/>
      <c r="G76" s="248"/>
      <c r="H76" s="248"/>
      <c r="I76" s="248"/>
      <c r="J76" s="248"/>
      <c r="K76" s="248"/>
      <c r="L76" s="248"/>
      <c r="M76" s="248"/>
      <c r="N76" s="248"/>
      <c r="O76" s="248"/>
      <c r="P76" s="248"/>
      <c r="Q76" s="248"/>
      <c r="R76" s="248"/>
      <c r="S76" s="248"/>
      <c r="T76" s="248"/>
      <c r="U76" s="248"/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51"/>
      <c r="AH76" s="270"/>
      <c r="AI76" s="217"/>
      <c r="AJ76" s="217"/>
      <c r="AK76" s="120"/>
      <c r="AL76" s="42"/>
      <c r="AM76" s="200"/>
      <c r="AN76" s="201"/>
    </row>
    <row r="77" spans="1:40" x14ac:dyDescent="0.2">
      <c r="A77" s="241"/>
      <c r="B77" s="262"/>
      <c r="C77" s="265"/>
      <c r="D77" s="265"/>
      <c r="E77" s="265"/>
      <c r="F77" s="249"/>
      <c r="G77" s="249"/>
      <c r="H77" s="249"/>
      <c r="I77" s="249"/>
      <c r="J77" s="249"/>
      <c r="K77" s="249"/>
      <c r="L77" s="249"/>
      <c r="M77" s="249"/>
      <c r="N77" s="249"/>
      <c r="O77" s="249"/>
      <c r="P77" s="249"/>
      <c r="Q77" s="249"/>
      <c r="R77" s="249"/>
      <c r="S77" s="249"/>
      <c r="T77" s="249"/>
      <c r="U77" s="249"/>
      <c r="V77" s="249"/>
      <c r="W77" s="249"/>
      <c r="X77" s="249"/>
      <c r="Y77" s="249"/>
      <c r="Z77" s="249"/>
      <c r="AA77" s="249"/>
      <c r="AB77" s="249"/>
      <c r="AC77" s="249"/>
      <c r="AD77" s="249"/>
      <c r="AE77" s="249"/>
      <c r="AF77" s="252"/>
      <c r="AH77" s="271"/>
      <c r="AI77" s="217"/>
      <c r="AJ77" s="217"/>
      <c r="AK77" s="120"/>
      <c r="AL77" s="42"/>
      <c r="AM77" s="200"/>
      <c r="AN77" s="201"/>
    </row>
    <row r="78" spans="1:40" x14ac:dyDescent="0.2">
      <c r="A78" s="24"/>
      <c r="B78" s="260"/>
      <c r="C78" s="263"/>
      <c r="D78" s="263"/>
      <c r="E78" s="263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  <c r="U78" s="247"/>
      <c r="V78" s="247"/>
      <c r="W78" s="247"/>
      <c r="X78" s="247"/>
      <c r="Y78" s="247"/>
      <c r="Z78" s="247"/>
      <c r="AA78" s="247"/>
      <c r="AB78" s="247"/>
      <c r="AC78" s="247"/>
      <c r="AD78" s="247"/>
      <c r="AE78" s="247"/>
      <c r="AF78" s="250"/>
      <c r="AH78" s="269">
        <f>SUM(B78:AF78)</f>
        <v>0</v>
      </c>
      <c r="AI78" s="216">
        <f>IFERROR(VLOOKUP($A78,'外出交通費精算明細書 (3段)'!$AD$13:$AE$48,2,FALSE),0)+IFERROR(VLOOKUP($A78,'外出交通費精算明細書 (4段)'!$AD$13:$AE$48,2,FALSE),0)</f>
        <v>0</v>
      </c>
      <c r="AJ78" s="217"/>
      <c r="AK78" s="120"/>
      <c r="AL78" s="42"/>
      <c r="AM78" s="200"/>
      <c r="AN78" s="201"/>
    </row>
    <row r="79" spans="1:40" x14ac:dyDescent="0.2">
      <c r="A79" s="240"/>
      <c r="B79" s="261"/>
      <c r="C79" s="264"/>
      <c r="D79" s="264"/>
      <c r="E79" s="264"/>
      <c r="F79" s="248"/>
      <c r="G79" s="248"/>
      <c r="H79" s="248"/>
      <c r="I79" s="248"/>
      <c r="J79" s="248"/>
      <c r="K79" s="248"/>
      <c r="L79" s="248"/>
      <c r="M79" s="248"/>
      <c r="N79" s="248"/>
      <c r="O79" s="248"/>
      <c r="P79" s="248"/>
      <c r="Q79" s="248"/>
      <c r="R79" s="248"/>
      <c r="S79" s="248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51"/>
      <c r="AH79" s="270"/>
      <c r="AI79" s="217"/>
      <c r="AJ79" s="217"/>
      <c r="AK79" s="120"/>
      <c r="AL79" s="42"/>
      <c r="AM79" s="200"/>
      <c r="AN79" s="201"/>
    </row>
    <row r="80" spans="1:40" x14ac:dyDescent="0.2">
      <c r="A80" s="240"/>
      <c r="B80" s="261"/>
      <c r="C80" s="264"/>
      <c r="D80" s="264"/>
      <c r="E80" s="264"/>
      <c r="F80" s="248"/>
      <c r="G80" s="248"/>
      <c r="H80" s="248"/>
      <c r="I80" s="248"/>
      <c r="J80" s="248"/>
      <c r="K80" s="248"/>
      <c r="L80" s="248"/>
      <c r="M80" s="248"/>
      <c r="N80" s="248"/>
      <c r="O80" s="248"/>
      <c r="P80" s="248"/>
      <c r="Q80" s="248"/>
      <c r="R80" s="248"/>
      <c r="S80" s="248"/>
      <c r="T80" s="248"/>
      <c r="U80" s="248"/>
      <c r="V80" s="248"/>
      <c r="W80" s="248"/>
      <c r="X80" s="248"/>
      <c r="Y80" s="248"/>
      <c r="Z80" s="248"/>
      <c r="AA80" s="248"/>
      <c r="AB80" s="248"/>
      <c r="AC80" s="248"/>
      <c r="AD80" s="248"/>
      <c r="AE80" s="248"/>
      <c r="AF80" s="251"/>
      <c r="AH80" s="270"/>
      <c r="AI80" s="217"/>
      <c r="AJ80" s="217"/>
      <c r="AK80" s="120"/>
      <c r="AL80" s="42"/>
      <c r="AM80" s="200"/>
      <c r="AN80" s="201"/>
    </row>
    <row r="81" spans="1:40" x14ac:dyDescent="0.2">
      <c r="A81" s="241"/>
      <c r="B81" s="262"/>
      <c r="C81" s="265"/>
      <c r="D81" s="265"/>
      <c r="E81" s="265"/>
      <c r="F81" s="249"/>
      <c r="G81" s="249"/>
      <c r="H81" s="249"/>
      <c r="I81" s="249"/>
      <c r="J81" s="249"/>
      <c r="K81" s="249"/>
      <c r="L81" s="249"/>
      <c r="M81" s="249"/>
      <c r="N81" s="249"/>
      <c r="O81" s="249"/>
      <c r="P81" s="249"/>
      <c r="Q81" s="249"/>
      <c r="R81" s="249"/>
      <c r="S81" s="249"/>
      <c r="T81" s="249"/>
      <c r="U81" s="249"/>
      <c r="V81" s="249"/>
      <c r="W81" s="249"/>
      <c r="X81" s="249"/>
      <c r="Y81" s="249"/>
      <c r="Z81" s="249"/>
      <c r="AA81" s="249"/>
      <c r="AB81" s="249"/>
      <c r="AC81" s="249"/>
      <c r="AD81" s="249"/>
      <c r="AE81" s="249"/>
      <c r="AF81" s="252"/>
      <c r="AH81" s="271"/>
      <c r="AI81" s="217"/>
      <c r="AJ81" s="217"/>
      <c r="AK81" s="120"/>
      <c r="AL81" s="42"/>
      <c r="AM81" s="200"/>
      <c r="AN81" s="201"/>
    </row>
    <row r="82" spans="1:40" x14ac:dyDescent="0.2">
      <c r="A82" s="24"/>
      <c r="B82" s="260"/>
      <c r="C82" s="263"/>
      <c r="D82" s="263"/>
      <c r="E82" s="263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  <c r="U82" s="247"/>
      <c r="V82" s="247"/>
      <c r="W82" s="247"/>
      <c r="X82" s="247"/>
      <c r="Y82" s="247"/>
      <c r="Z82" s="247"/>
      <c r="AA82" s="247"/>
      <c r="AB82" s="247"/>
      <c r="AC82" s="247"/>
      <c r="AD82" s="247"/>
      <c r="AE82" s="247"/>
      <c r="AF82" s="250"/>
      <c r="AH82" s="269">
        <f>SUM(B82:AF82)</f>
        <v>0</v>
      </c>
      <c r="AI82" s="216">
        <f>IFERROR(VLOOKUP($A82,'外出交通費精算明細書 (3段)'!$AD$13:$AE$48,2,FALSE),0)+IFERROR(VLOOKUP($A82,'外出交通費精算明細書 (4段)'!$AD$13:$AE$48,2,FALSE),0)</f>
        <v>0</v>
      </c>
      <c r="AJ82" s="217"/>
      <c r="AK82" s="120"/>
      <c r="AL82" s="42"/>
      <c r="AM82" s="200"/>
      <c r="AN82" s="201"/>
    </row>
    <row r="83" spans="1:40" x14ac:dyDescent="0.2">
      <c r="A83" s="240"/>
      <c r="B83" s="261"/>
      <c r="C83" s="264"/>
      <c r="D83" s="264"/>
      <c r="E83" s="264"/>
      <c r="F83" s="248"/>
      <c r="G83" s="248"/>
      <c r="H83" s="248"/>
      <c r="I83" s="248"/>
      <c r="J83" s="248"/>
      <c r="K83" s="248"/>
      <c r="L83" s="248"/>
      <c r="M83" s="248"/>
      <c r="N83" s="248"/>
      <c r="O83" s="248"/>
      <c r="P83" s="248"/>
      <c r="Q83" s="248"/>
      <c r="R83" s="248"/>
      <c r="S83" s="248"/>
      <c r="T83" s="248"/>
      <c r="U83" s="248"/>
      <c r="V83" s="248"/>
      <c r="W83" s="248"/>
      <c r="X83" s="248"/>
      <c r="Y83" s="248"/>
      <c r="Z83" s="248"/>
      <c r="AA83" s="248"/>
      <c r="AB83" s="248"/>
      <c r="AC83" s="248"/>
      <c r="AD83" s="248"/>
      <c r="AE83" s="248"/>
      <c r="AF83" s="251"/>
      <c r="AH83" s="270"/>
      <c r="AI83" s="217"/>
      <c r="AJ83" s="217"/>
      <c r="AK83" s="120"/>
      <c r="AL83" s="42"/>
      <c r="AM83" s="200"/>
      <c r="AN83" s="201"/>
    </row>
    <row r="84" spans="1:40" x14ac:dyDescent="0.2">
      <c r="A84" s="240"/>
      <c r="B84" s="261"/>
      <c r="C84" s="264"/>
      <c r="D84" s="264"/>
      <c r="E84" s="264"/>
      <c r="F84" s="248"/>
      <c r="G84" s="248"/>
      <c r="H84" s="248"/>
      <c r="I84" s="248"/>
      <c r="J84" s="248"/>
      <c r="K84" s="248"/>
      <c r="L84" s="248"/>
      <c r="M84" s="248"/>
      <c r="N84" s="248"/>
      <c r="O84" s="248"/>
      <c r="P84" s="248"/>
      <c r="Q84" s="248"/>
      <c r="R84" s="248"/>
      <c r="S84" s="248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51"/>
      <c r="AH84" s="270"/>
      <c r="AI84" s="217"/>
      <c r="AJ84" s="217"/>
      <c r="AK84" s="120"/>
      <c r="AL84" s="42"/>
      <c r="AM84" s="200"/>
      <c r="AN84" s="201"/>
    </row>
    <row r="85" spans="1:40" x14ac:dyDescent="0.2">
      <c r="A85" s="241"/>
      <c r="B85" s="262"/>
      <c r="C85" s="265"/>
      <c r="D85" s="265"/>
      <c r="E85" s="265"/>
      <c r="F85" s="249"/>
      <c r="G85" s="249"/>
      <c r="H85" s="249"/>
      <c r="I85" s="249"/>
      <c r="J85" s="249"/>
      <c r="K85" s="249"/>
      <c r="L85" s="249"/>
      <c r="M85" s="249"/>
      <c r="N85" s="249"/>
      <c r="O85" s="249"/>
      <c r="P85" s="249"/>
      <c r="Q85" s="249"/>
      <c r="R85" s="249"/>
      <c r="S85" s="249"/>
      <c r="T85" s="249"/>
      <c r="U85" s="249"/>
      <c r="V85" s="249"/>
      <c r="W85" s="249"/>
      <c r="X85" s="249"/>
      <c r="Y85" s="249"/>
      <c r="Z85" s="249"/>
      <c r="AA85" s="249"/>
      <c r="AB85" s="249"/>
      <c r="AC85" s="249"/>
      <c r="AD85" s="249"/>
      <c r="AE85" s="249"/>
      <c r="AF85" s="252"/>
      <c r="AH85" s="271"/>
      <c r="AI85" s="217"/>
      <c r="AJ85" s="217"/>
      <c r="AK85" s="120"/>
      <c r="AL85" s="42"/>
      <c r="AM85" s="200"/>
      <c r="AN85" s="201"/>
    </row>
    <row r="86" spans="1:40" x14ac:dyDescent="0.2">
      <c r="A86" s="24"/>
      <c r="B86" s="260"/>
      <c r="C86" s="263"/>
      <c r="D86" s="263"/>
      <c r="E86" s="263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  <c r="U86" s="247"/>
      <c r="V86" s="247"/>
      <c r="W86" s="247"/>
      <c r="X86" s="247"/>
      <c r="Y86" s="247"/>
      <c r="Z86" s="247"/>
      <c r="AA86" s="247"/>
      <c r="AB86" s="247"/>
      <c r="AC86" s="247"/>
      <c r="AD86" s="247"/>
      <c r="AE86" s="247"/>
      <c r="AF86" s="250"/>
      <c r="AH86" s="269">
        <f>SUM(B86:AF86)</f>
        <v>0</v>
      </c>
      <c r="AI86" s="216">
        <f>IFERROR(VLOOKUP($A86,'外出交通費精算明細書 (3段)'!$AD$13:$AE$48,2,FALSE),0)+IFERROR(VLOOKUP($A86,'外出交通費精算明細書 (4段)'!$AD$13:$AE$48,2,FALSE),0)</f>
        <v>0</v>
      </c>
      <c r="AJ86" s="217"/>
      <c r="AK86" s="120"/>
      <c r="AL86" s="42"/>
      <c r="AM86" s="200"/>
      <c r="AN86" s="201"/>
    </row>
    <row r="87" spans="1:40" x14ac:dyDescent="0.2">
      <c r="A87" s="240"/>
      <c r="B87" s="261"/>
      <c r="C87" s="264"/>
      <c r="D87" s="264"/>
      <c r="E87" s="264"/>
      <c r="F87" s="248"/>
      <c r="G87" s="248"/>
      <c r="H87" s="248"/>
      <c r="I87" s="248"/>
      <c r="J87" s="248"/>
      <c r="K87" s="248"/>
      <c r="L87" s="248"/>
      <c r="M87" s="248"/>
      <c r="N87" s="248"/>
      <c r="O87" s="248"/>
      <c r="P87" s="248"/>
      <c r="Q87" s="248"/>
      <c r="R87" s="248"/>
      <c r="S87" s="248"/>
      <c r="T87" s="248"/>
      <c r="U87" s="248"/>
      <c r="V87" s="248"/>
      <c r="W87" s="248"/>
      <c r="X87" s="248"/>
      <c r="Y87" s="248"/>
      <c r="Z87" s="248"/>
      <c r="AA87" s="248"/>
      <c r="AB87" s="248"/>
      <c r="AC87" s="248"/>
      <c r="AD87" s="248"/>
      <c r="AE87" s="248"/>
      <c r="AF87" s="251"/>
      <c r="AH87" s="270"/>
      <c r="AI87" s="217"/>
      <c r="AJ87" s="217"/>
      <c r="AK87" s="120"/>
      <c r="AL87" s="42"/>
      <c r="AM87" s="200"/>
      <c r="AN87" s="201"/>
    </row>
    <row r="88" spans="1:40" x14ac:dyDescent="0.2">
      <c r="A88" s="240"/>
      <c r="B88" s="261"/>
      <c r="C88" s="264"/>
      <c r="D88" s="264"/>
      <c r="E88" s="264"/>
      <c r="F88" s="248"/>
      <c r="G88" s="248"/>
      <c r="H88" s="248"/>
      <c r="I88" s="248"/>
      <c r="J88" s="248"/>
      <c r="K88" s="248"/>
      <c r="L88" s="248"/>
      <c r="M88" s="248"/>
      <c r="N88" s="248"/>
      <c r="O88" s="248"/>
      <c r="P88" s="248"/>
      <c r="Q88" s="248"/>
      <c r="R88" s="248"/>
      <c r="S88" s="248"/>
      <c r="T88" s="248"/>
      <c r="U88" s="248"/>
      <c r="V88" s="248"/>
      <c r="W88" s="248"/>
      <c r="X88" s="248"/>
      <c r="Y88" s="248"/>
      <c r="Z88" s="248"/>
      <c r="AA88" s="248"/>
      <c r="AB88" s="248"/>
      <c r="AC88" s="248"/>
      <c r="AD88" s="248"/>
      <c r="AE88" s="248"/>
      <c r="AF88" s="251"/>
      <c r="AH88" s="270"/>
      <c r="AI88" s="217"/>
      <c r="AJ88" s="217"/>
      <c r="AK88" s="120"/>
      <c r="AL88" s="42"/>
      <c r="AM88" s="200"/>
      <c r="AN88" s="201"/>
    </row>
    <row r="89" spans="1:40" x14ac:dyDescent="0.2">
      <c r="A89" s="241"/>
      <c r="B89" s="262"/>
      <c r="C89" s="265"/>
      <c r="D89" s="265"/>
      <c r="E89" s="265"/>
      <c r="F89" s="249"/>
      <c r="G89" s="249"/>
      <c r="H89" s="249"/>
      <c r="I89" s="249"/>
      <c r="J89" s="249"/>
      <c r="K89" s="249"/>
      <c r="L89" s="249"/>
      <c r="M89" s="249"/>
      <c r="N89" s="249"/>
      <c r="O89" s="249"/>
      <c r="P89" s="249"/>
      <c r="Q89" s="249"/>
      <c r="R89" s="249"/>
      <c r="S89" s="249"/>
      <c r="T89" s="249"/>
      <c r="U89" s="249"/>
      <c r="V89" s="249"/>
      <c r="W89" s="249"/>
      <c r="X89" s="249"/>
      <c r="Y89" s="249"/>
      <c r="Z89" s="249"/>
      <c r="AA89" s="249"/>
      <c r="AB89" s="249"/>
      <c r="AC89" s="249"/>
      <c r="AD89" s="249"/>
      <c r="AE89" s="249"/>
      <c r="AF89" s="252"/>
      <c r="AH89" s="271"/>
      <c r="AI89" s="217"/>
      <c r="AJ89" s="217"/>
      <c r="AK89" s="120"/>
      <c r="AL89" s="42"/>
      <c r="AM89" s="200"/>
      <c r="AN89" s="201"/>
    </row>
    <row r="90" spans="1:40" x14ac:dyDescent="0.2">
      <c r="A90" s="24"/>
      <c r="B90" s="260"/>
      <c r="C90" s="263"/>
      <c r="D90" s="263"/>
      <c r="E90" s="263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  <c r="U90" s="247"/>
      <c r="V90" s="247"/>
      <c r="W90" s="247"/>
      <c r="X90" s="247"/>
      <c r="Y90" s="247"/>
      <c r="Z90" s="247"/>
      <c r="AA90" s="247"/>
      <c r="AB90" s="247"/>
      <c r="AC90" s="247"/>
      <c r="AD90" s="247"/>
      <c r="AE90" s="247"/>
      <c r="AF90" s="250"/>
      <c r="AH90" s="269">
        <f>SUM(B90:AF90)</f>
        <v>0</v>
      </c>
      <c r="AI90" s="216">
        <f>IFERROR(VLOOKUP($A90,'外出交通費精算明細書 (3段)'!$AD$13:$AE$48,2,FALSE),0)+IFERROR(VLOOKUP($A90,'外出交通費精算明細書 (4段)'!$AD$13:$AE$48,2,FALSE),0)</f>
        <v>0</v>
      </c>
      <c r="AJ90" s="217"/>
      <c r="AK90" s="120"/>
      <c r="AL90" s="42"/>
      <c r="AM90" s="200"/>
      <c r="AN90" s="201"/>
    </row>
    <row r="91" spans="1:40" x14ac:dyDescent="0.2">
      <c r="A91" s="240"/>
      <c r="B91" s="261"/>
      <c r="C91" s="264"/>
      <c r="D91" s="264"/>
      <c r="E91" s="264"/>
      <c r="F91" s="248"/>
      <c r="G91" s="248"/>
      <c r="H91" s="248"/>
      <c r="I91" s="248"/>
      <c r="J91" s="248"/>
      <c r="K91" s="248"/>
      <c r="L91" s="248"/>
      <c r="M91" s="248"/>
      <c r="N91" s="248"/>
      <c r="O91" s="248"/>
      <c r="P91" s="248"/>
      <c r="Q91" s="248"/>
      <c r="R91" s="248"/>
      <c r="S91" s="248"/>
      <c r="T91" s="248"/>
      <c r="U91" s="248"/>
      <c r="V91" s="248"/>
      <c r="W91" s="248"/>
      <c r="X91" s="248"/>
      <c r="Y91" s="248"/>
      <c r="Z91" s="248"/>
      <c r="AA91" s="248"/>
      <c r="AB91" s="248"/>
      <c r="AC91" s="248"/>
      <c r="AD91" s="248"/>
      <c r="AE91" s="248"/>
      <c r="AF91" s="251"/>
      <c r="AH91" s="270"/>
      <c r="AI91" s="217"/>
      <c r="AJ91" s="217"/>
      <c r="AK91" s="120"/>
      <c r="AL91" s="42"/>
      <c r="AM91" s="200"/>
      <c r="AN91" s="201"/>
    </row>
    <row r="92" spans="1:40" x14ac:dyDescent="0.2">
      <c r="A92" s="240"/>
      <c r="B92" s="261"/>
      <c r="C92" s="264"/>
      <c r="D92" s="264"/>
      <c r="E92" s="264"/>
      <c r="F92" s="248"/>
      <c r="G92" s="248"/>
      <c r="H92" s="248"/>
      <c r="I92" s="248"/>
      <c r="J92" s="248"/>
      <c r="K92" s="248"/>
      <c r="L92" s="248"/>
      <c r="M92" s="248"/>
      <c r="N92" s="248"/>
      <c r="O92" s="248"/>
      <c r="P92" s="248"/>
      <c r="Q92" s="248"/>
      <c r="R92" s="248"/>
      <c r="S92" s="248"/>
      <c r="T92" s="248"/>
      <c r="U92" s="248"/>
      <c r="V92" s="248"/>
      <c r="W92" s="248"/>
      <c r="X92" s="248"/>
      <c r="Y92" s="248"/>
      <c r="Z92" s="248"/>
      <c r="AA92" s="248"/>
      <c r="AB92" s="248"/>
      <c r="AC92" s="248"/>
      <c r="AD92" s="248"/>
      <c r="AE92" s="248"/>
      <c r="AF92" s="251"/>
      <c r="AH92" s="270"/>
      <c r="AI92" s="217"/>
      <c r="AJ92" s="217"/>
      <c r="AK92" s="120"/>
      <c r="AL92" s="42"/>
      <c r="AM92" s="200"/>
      <c r="AN92" s="201"/>
    </row>
    <row r="93" spans="1:40" x14ac:dyDescent="0.2">
      <c r="A93" s="241"/>
      <c r="B93" s="262"/>
      <c r="C93" s="265"/>
      <c r="D93" s="265"/>
      <c r="E93" s="265"/>
      <c r="F93" s="249"/>
      <c r="G93" s="249"/>
      <c r="H93" s="249"/>
      <c r="I93" s="249"/>
      <c r="J93" s="249"/>
      <c r="K93" s="249"/>
      <c r="L93" s="249"/>
      <c r="M93" s="249"/>
      <c r="N93" s="249"/>
      <c r="O93" s="249"/>
      <c r="P93" s="249"/>
      <c r="Q93" s="249"/>
      <c r="R93" s="249"/>
      <c r="S93" s="249"/>
      <c r="T93" s="249"/>
      <c r="U93" s="249"/>
      <c r="V93" s="249"/>
      <c r="W93" s="249"/>
      <c r="X93" s="249"/>
      <c r="Y93" s="249"/>
      <c r="Z93" s="249"/>
      <c r="AA93" s="249"/>
      <c r="AB93" s="249"/>
      <c r="AC93" s="249"/>
      <c r="AD93" s="249"/>
      <c r="AE93" s="249"/>
      <c r="AF93" s="252"/>
      <c r="AH93" s="271"/>
      <c r="AI93" s="217"/>
      <c r="AJ93" s="217"/>
      <c r="AK93" s="120"/>
      <c r="AL93" s="42"/>
      <c r="AM93" s="200"/>
      <c r="AN93" s="201"/>
    </row>
    <row r="94" spans="1:40" x14ac:dyDescent="0.2">
      <c r="A94" s="24"/>
      <c r="B94" s="260"/>
      <c r="C94" s="263"/>
      <c r="D94" s="263"/>
      <c r="E94" s="263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  <c r="U94" s="247"/>
      <c r="V94" s="247"/>
      <c r="W94" s="247"/>
      <c r="X94" s="247"/>
      <c r="Y94" s="247"/>
      <c r="Z94" s="247"/>
      <c r="AA94" s="247"/>
      <c r="AB94" s="247"/>
      <c r="AC94" s="247"/>
      <c r="AD94" s="247"/>
      <c r="AE94" s="247"/>
      <c r="AF94" s="250"/>
      <c r="AH94" s="269">
        <f>SUM(B94:AF94)</f>
        <v>0</v>
      </c>
      <c r="AI94" s="216">
        <f>IFERROR(VLOOKUP($A94,'外出交通費精算明細書 (3段)'!$AD$13:$AE$48,2,FALSE),0)+IFERROR(VLOOKUP($A94,'外出交通費精算明細書 (4段)'!$AD$13:$AE$48,2,FALSE),0)</f>
        <v>0</v>
      </c>
      <c r="AJ94" s="217"/>
      <c r="AK94" s="120"/>
      <c r="AL94" s="42"/>
      <c r="AM94" s="200"/>
      <c r="AN94" s="201"/>
    </row>
    <row r="95" spans="1:40" x14ac:dyDescent="0.2">
      <c r="A95" s="240"/>
      <c r="B95" s="261"/>
      <c r="C95" s="264"/>
      <c r="D95" s="264"/>
      <c r="E95" s="264"/>
      <c r="F95" s="248"/>
      <c r="G95" s="248"/>
      <c r="H95" s="248"/>
      <c r="I95" s="248"/>
      <c r="J95" s="248"/>
      <c r="K95" s="248"/>
      <c r="L95" s="248"/>
      <c r="M95" s="248"/>
      <c r="N95" s="248"/>
      <c r="O95" s="248"/>
      <c r="P95" s="248"/>
      <c r="Q95" s="248"/>
      <c r="R95" s="248"/>
      <c r="S95" s="248"/>
      <c r="T95" s="248"/>
      <c r="U95" s="248"/>
      <c r="V95" s="248"/>
      <c r="W95" s="248"/>
      <c r="X95" s="248"/>
      <c r="Y95" s="248"/>
      <c r="Z95" s="248"/>
      <c r="AA95" s="248"/>
      <c r="AB95" s="248"/>
      <c r="AC95" s="248"/>
      <c r="AD95" s="248"/>
      <c r="AE95" s="248"/>
      <c r="AF95" s="251"/>
      <c r="AH95" s="270"/>
      <c r="AI95" s="217"/>
      <c r="AJ95" s="217"/>
      <c r="AK95" s="120"/>
      <c r="AL95" s="42"/>
      <c r="AM95" s="200"/>
      <c r="AN95" s="201"/>
    </row>
    <row r="96" spans="1:40" x14ac:dyDescent="0.2">
      <c r="A96" s="240"/>
      <c r="B96" s="261"/>
      <c r="C96" s="264"/>
      <c r="D96" s="264"/>
      <c r="E96" s="264"/>
      <c r="F96" s="248"/>
      <c r="G96" s="248"/>
      <c r="H96" s="248"/>
      <c r="I96" s="248"/>
      <c r="J96" s="248"/>
      <c r="K96" s="248"/>
      <c r="L96" s="248"/>
      <c r="M96" s="248"/>
      <c r="N96" s="248"/>
      <c r="O96" s="248"/>
      <c r="P96" s="248"/>
      <c r="Q96" s="248"/>
      <c r="R96" s="248"/>
      <c r="S96" s="248"/>
      <c r="T96" s="248"/>
      <c r="U96" s="248"/>
      <c r="V96" s="248"/>
      <c r="W96" s="248"/>
      <c r="X96" s="248"/>
      <c r="Y96" s="248"/>
      <c r="Z96" s="248"/>
      <c r="AA96" s="248"/>
      <c r="AB96" s="248"/>
      <c r="AC96" s="248"/>
      <c r="AD96" s="248"/>
      <c r="AE96" s="248"/>
      <c r="AF96" s="251"/>
      <c r="AH96" s="270"/>
      <c r="AI96" s="217"/>
      <c r="AJ96" s="217"/>
      <c r="AK96" s="120"/>
      <c r="AL96" s="42"/>
      <c r="AM96" s="200"/>
      <c r="AN96" s="201"/>
    </row>
    <row r="97" spans="1:40" x14ac:dyDescent="0.2">
      <c r="A97" s="241"/>
      <c r="B97" s="262"/>
      <c r="C97" s="265"/>
      <c r="D97" s="265"/>
      <c r="E97" s="265"/>
      <c r="F97" s="249"/>
      <c r="G97" s="249"/>
      <c r="H97" s="249"/>
      <c r="I97" s="249"/>
      <c r="J97" s="249"/>
      <c r="K97" s="249"/>
      <c r="L97" s="249"/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49"/>
      <c r="AC97" s="249"/>
      <c r="AD97" s="249"/>
      <c r="AE97" s="249"/>
      <c r="AF97" s="252"/>
      <c r="AH97" s="271"/>
      <c r="AI97" s="217"/>
      <c r="AJ97" s="217"/>
      <c r="AK97" s="120"/>
      <c r="AL97" s="42"/>
      <c r="AM97" s="200"/>
      <c r="AN97" s="201"/>
    </row>
    <row r="98" spans="1:40" x14ac:dyDescent="0.2">
      <c r="A98" s="24"/>
      <c r="B98" s="260"/>
      <c r="C98" s="263"/>
      <c r="D98" s="263"/>
      <c r="E98" s="263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  <c r="U98" s="247"/>
      <c r="V98" s="247"/>
      <c r="W98" s="247"/>
      <c r="X98" s="247"/>
      <c r="Y98" s="247"/>
      <c r="Z98" s="247"/>
      <c r="AA98" s="247"/>
      <c r="AB98" s="247"/>
      <c r="AC98" s="247"/>
      <c r="AD98" s="247"/>
      <c r="AE98" s="247"/>
      <c r="AF98" s="250"/>
      <c r="AH98" s="269">
        <f>SUM(B98:AF98)</f>
        <v>0</v>
      </c>
      <c r="AI98" s="216">
        <f>IFERROR(VLOOKUP($A98,'外出交通費精算明細書 (3段)'!$AD$13:$AE$48,2,FALSE),0)+IFERROR(VLOOKUP($A98,'外出交通費精算明細書 (4段)'!$AD$13:$AE$48,2,FALSE),0)</f>
        <v>0</v>
      </c>
      <c r="AJ98" s="217"/>
      <c r="AK98" s="120"/>
      <c r="AL98" s="42"/>
      <c r="AM98" s="200"/>
      <c r="AN98" s="201"/>
    </row>
    <row r="99" spans="1:40" x14ac:dyDescent="0.2">
      <c r="A99" s="240"/>
      <c r="B99" s="261"/>
      <c r="C99" s="264"/>
      <c r="D99" s="264"/>
      <c r="E99" s="264"/>
      <c r="F99" s="248"/>
      <c r="G99" s="248"/>
      <c r="H99" s="248"/>
      <c r="I99" s="248"/>
      <c r="J99" s="248"/>
      <c r="K99" s="248"/>
      <c r="L99" s="248"/>
      <c r="M99" s="248"/>
      <c r="N99" s="248"/>
      <c r="O99" s="248"/>
      <c r="P99" s="248"/>
      <c r="Q99" s="248"/>
      <c r="R99" s="248"/>
      <c r="S99" s="248"/>
      <c r="T99" s="248"/>
      <c r="U99" s="248"/>
      <c r="V99" s="248"/>
      <c r="W99" s="248"/>
      <c r="X99" s="248"/>
      <c r="Y99" s="248"/>
      <c r="Z99" s="248"/>
      <c r="AA99" s="248"/>
      <c r="AB99" s="248"/>
      <c r="AC99" s="248"/>
      <c r="AD99" s="248"/>
      <c r="AE99" s="248"/>
      <c r="AF99" s="251"/>
      <c r="AH99" s="270"/>
      <c r="AI99" s="217"/>
      <c r="AJ99" s="217"/>
      <c r="AK99" s="120"/>
      <c r="AL99" s="42"/>
      <c r="AM99" s="200"/>
      <c r="AN99" s="201"/>
    </row>
    <row r="100" spans="1:40" x14ac:dyDescent="0.2">
      <c r="A100" s="240"/>
      <c r="B100" s="261"/>
      <c r="C100" s="264"/>
      <c r="D100" s="264"/>
      <c r="E100" s="264"/>
      <c r="F100" s="248"/>
      <c r="G100" s="248"/>
      <c r="H100" s="248"/>
      <c r="I100" s="248"/>
      <c r="J100" s="248"/>
      <c r="K100" s="248"/>
      <c r="L100" s="248"/>
      <c r="M100" s="248"/>
      <c r="N100" s="248"/>
      <c r="O100" s="248"/>
      <c r="P100" s="248"/>
      <c r="Q100" s="248"/>
      <c r="R100" s="248"/>
      <c r="S100" s="248"/>
      <c r="T100" s="248"/>
      <c r="U100" s="248"/>
      <c r="V100" s="248"/>
      <c r="W100" s="248"/>
      <c r="X100" s="248"/>
      <c r="Y100" s="248"/>
      <c r="Z100" s="248"/>
      <c r="AA100" s="248"/>
      <c r="AB100" s="248"/>
      <c r="AC100" s="248"/>
      <c r="AD100" s="248"/>
      <c r="AE100" s="248"/>
      <c r="AF100" s="251"/>
      <c r="AH100" s="270"/>
      <c r="AI100" s="217"/>
      <c r="AJ100" s="217"/>
      <c r="AK100" s="120"/>
      <c r="AL100" s="42"/>
      <c r="AM100" s="200"/>
      <c r="AN100" s="201"/>
    </row>
    <row r="101" spans="1:40" x14ac:dyDescent="0.2">
      <c r="A101" s="241"/>
      <c r="B101" s="262"/>
      <c r="C101" s="265"/>
      <c r="D101" s="265"/>
      <c r="E101" s="265"/>
      <c r="F101" s="249"/>
      <c r="G101" s="249"/>
      <c r="H101" s="249"/>
      <c r="I101" s="249"/>
      <c r="J101" s="249"/>
      <c r="K101" s="249"/>
      <c r="L101" s="249"/>
      <c r="M101" s="249"/>
      <c r="N101" s="249"/>
      <c r="O101" s="249"/>
      <c r="P101" s="249"/>
      <c r="Q101" s="249"/>
      <c r="R101" s="249"/>
      <c r="S101" s="249"/>
      <c r="T101" s="249"/>
      <c r="U101" s="249"/>
      <c r="V101" s="249"/>
      <c r="W101" s="249"/>
      <c r="X101" s="249"/>
      <c r="Y101" s="249"/>
      <c r="Z101" s="249"/>
      <c r="AA101" s="249"/>
      <c r="AB101" s="249"/>
      <c r="AC101" s="249"/>
      <c r="AD101" s="249"/>
      <c r="AE101" s="249"/>
      <c r="AF101" s="252"/>
      <c r="AH101" s="271"/>
      <c r="AI101" s="217"/>
      <c r="AJ101" s="217"/>
      <c r="AK101" s="120"/>
      <c r="AL101" s="42"/>
      <c r="AM101" s="200"/>
      <c r="AN101" s="201"/>
    </row>
    <row r="102" spans="1:40" x14ac:dyDescent="0.2">
      <c r="A102" s="24"/>
      <c r="B102" s="260"/>
      <c r="C102" s="263"/>
      <c r="D102" s="263"/>
      <c r="E102" s="263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  <c r="U102" s="247"/>
      <c r="V102" s="247"/>
      <c r="W102" s="247"/>
      <c r="X102" s="247"/>
      <c r="Y102" s="247"/>
      <c r="Z102" s="247"/>
      <c r="AA102" s="247"/>
      <c r="AB102" s="247"/>
      <c r="AC102" s="247"/>
      <c r="AD102" s="247"/>
      <c r="AE102" s="247"/>
      <c r="AF102" s="250"/>
      <c r="AH102" s="269">
        <f>SUM(B102:AF102)</f>
        <v>0</v>
      </c>
      <c r="AI102" s="216">
        <f>IFERROR(VLOOKUP($A102,'外出交通費精算明細書 (3段)'!$AD$13:$AE$48,2,FALSE),0)+IFERROR(VLOOKUP($A102,'外出交通費精算明細書 (4段)'!$AD$13:$AE$48,2,FALSE),0)</f>
        <v>0</v>
      </c>
      <c r="AJ102" s="217"/>
      <c r="AK102" s="120"/>
      <c r="AL102" s="42"/>
      <c r="AM102" s="200"/>
      <c r="AN102" s="201"/>
    </row>
    <row r="103" spans="1:40" x14ac:dyDescent="0.2">
      <c r="A103" s="240"/>
      <c r="B103" s="261"/>
      <c r="C103" s="264"/>
      <c r="D103" s="264"/>
      <c r="E103" s="264"/>
      <c r="F103" s="248"/>
      <c r="G103" s="248"/>
      <c r="H103" s="248"/>
      <c r="I103" s="248"/>
      <c r="J103" s="248"/>
      <c r="K103" s="248"/>
      <c r="L103" s="248"/>
      <c r="M103" s="248"/>
      <c r="N103" s="248"/>
      <c r="O103" s="248"/>
      <c r="P103" s="248"/>
      <c r="Q103" s="248"/>
      <c r="R103" s="248"/>
      <c r="S103" s="248"/>
      <c r="T103" s="248"/>
      <c r="U103" s="248"/>
      <c r="V103" s="248"/>
      <c r="W103" s="248"/>
      <c r="X103" s="248"/>
      <c r="Y103" s="248"/>
      <c r="Z103" s="248"/>
      <c r="AA103" s="248"/>
      <c r="AB103" s="248"/>
      <c r="AC103" s="248"/>
      <c r="AD103" s="248"/>
      <c r="AE103" s="248"/>
      <c r="AF103" s="251"/>
      <c r="AH103" s="270"/>
      <c r="AI103" s="217"/>
      <c r="AJ103" s="217"/>
      <c r="AK103" s="120"/>
      <c r="AL103" s="42"/>
      <c r="AM103" s="200"/>
      <c r="AN103" s="201"/>
    </row>
    <row r="104" spans="1:40" x14ac:dyDescent="0.2">
      <c r="A104" s="240"/>
      <c r="B104" s="261"/>
      <c r="C104" s="264"/>
      <c r="D104" s="264"/>
      <c r="E104" s="264"/>
      <c r="F104" s="248"/>
      <c r="G104" s="248"/>
      <c r="H104" s="248"/>
      <c r="I104" s="248"/>
      <c r="J104" s="248"/>
      <c r="K104" s="248"/>
      <c r="L104" s="248"/>
      <c r="M104" s="248"/>
      <c r="N104" s="248"/>
      <c r="O104" s="248"/>
      <c r="P104" s="248"/>
      <c r="Q104" s="248"/>
      <c r="R104" s="248"/>
      <c r="S104" s="248"/>
      <c r="T104" s="248"/>
      <c r="U104" s="248"/>
      <c r="V104" s="248"/>
      <c r="W104" s="248"/>
      <c r="X104" s="248"/>
      <c r="Y104" s="248"/>
      <c r="Z104" s="248"/>
      <c r="AA104" s="248"/>
      <c r="AB104" s="248"/>
      <c r="AC104" s="248"/>
      <c r="AD104" s="248"/>
      <c r="AE104" s="248"/>
      <c r="AF104" s="251"/>
      <c r="AH104" s="270"/>
      <c r="AI104" s="217"/>
      <c r="AJ104" s="217"/>
      <c r="AK104" s="120"/>
      <c r="AL104" s="42"/>
      <c r="AM104" s="200"/>
      <c r="AN104" s="201"/>
    </row>
    <row r="105" spans="1:40" x14ac:dyDescent="0.2">
      <c r="A105" s="241"/>
      <c r="B105" s="262"/>
      <c r="C105" s="265"/>
      <c r="D105" s="265"/>
      <c r="E105" s="265"/>
      <c r="F105" s="249"/>
      <c r="G105" s="249"/>
      <c r="H105" s="249"/>
      <c r="I105" s="249"/>
      <c r="J105" s="249"/>
      <c r="K105" s="249"/>
      <c r="L105" s="249"/>
      <c r="M105" s="249"/>
      <c r="N105" s="249"/>
      <c r="O105" s="249"/>
      <c r="P105" s="249"/>
      <c r="Q105" s="249"/>
      <c r="R105" s="249"/>
      <c r="S105" s="249"/>
      <c r="T105" s="249"/>
      <c r="U105" s="249"/>
      <c r="V105" s="249"/>
      <c r="W105" s="249"/>
      <c r="X105" s="249"/>
      <c r="Y105" s="249"/>
      <c r="Z105" s="249"/>
      <c r="AA105" s="249"/>
      <c r="AB105" s="249"/>
      <c r="AC105" s="249"/>
      <c r="AD105" s="249"/>
      <c r="AE105" s="249"/>
      <c r="AF105" s="252"/>
      <c r="AH105" s="271"/>
      <c r="AI105" s="217"/>
      <c r="AJ105" s="217"/>
      <c r="AK105" s="120"/>
      <c r="AL105" s="42"/>
      <c r="AM105" s="200"/>
      <c r="AN105" s="201"/>
    </row>
    <row r="106" spans="1:40" x14ac:dyDescent="0.2">
      <c r="A106" s="24"/>
      <c r="B106" s="260"/>
      <c r="C106" s="263"/>
      <c r="D106" s="263"/>
      <c r="E106" s="263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  <c r="U106" s="247"/>
      <c r="V106" s="247"/>
      <c r="W106" s="247"/>
      <c r="X106" s="247"/>
      <c r="Y106" s="247"/>
      <c r="Z106" s="247"/>
      <c r="AA106" s="247"/>
      <c r="AB106" s="247"/>
      <c r="AC106" s="247"/>
      <c r="AD106" s="247"/>
      <c r="AE106" s="247"/>
      <c r="AF106" s="250"/>
      <c r="AH106" s="269">
        <f>SUM(B106:AF106)</f>
        <v>0</v>
      </c>
      <c r="AI106" s="216">
        <f>IFERROR(VLOOKUP($A106,'外出交通費精算明細書 (3段)'!$AD$13:$AE$48,2,FALSE),0)+IFERROR(VLOOKUP($A106,'外出交通費精算明細書 (4段)'!$AD$13:$AE$48,2,FALSE),0)</f>
        <v>0</v>
      </c>
      <c r="AJ106" s="217"/>
      <c r="AK106" s="120"/>
      <c r="AL106" s="42"/>
      <c r="AM106" s="200"/>
      <c r="AN106" s="201"/>
    </row>
    <row r="107" spans="1:40" x14ac:dyDescent="0.2">
      <c r="A107" s="240"/>
      <c r="B107" s="261"/>
      <c r="C107" s="264"/>
      <c r="D107" s="264"/>
      <c r="E107" s="264"/>
      <c r="F107" s="248"/>
      <c r="G107" s="248"/>
      <c r="H107" s="248"/>
      <c r="I107" s="248"/>
      <c r="J107" s="248"/>
      <c r="K107" s="248"/>
      <c r="L107" s="248"/>
      <c r="M107" s="248"/>
      <c r="N107" s="248"/>
      <c r="O107" s="248"/>
      <c r="P107" s="248"/>
      <c r="Q107" s="248"/>
      <c r="R107" s="248"/>
      <c r="S107" s="248"/>
      <c r="T107" s="248"/>
      <c r="U107" s="248"/>
      <c r="V107" s="248"/>
      <c r="W107" s="248"/>
      <c r="X107" s="248"/>
      <c r="Y107" s="248"/>
      <c r="Z107" s="248"/>
      <c r="AA107" s="248"/>
      <c r="AB107" s="248"/>
      <c r="AC107" s="248"/>
      <c r="AD107" s="248"/>
      <c r="AE107" s="248"/>
      <c r="AF107" s="251"/>
      <c r="AH107" s="270"/>
      <c r="AI107" s="217"/>
      <c r="AJ107" s="217"/>
      <c r="AK107" s="120"/>
      <c r="AL107" s="42"/>
      <c r="AM107" s="200"/>
      <c r="AN107" s="201"/>
    </row>
    <row r="108" spans="1:40" x14ac:dyDescent="0.2">
      <c r="A108" s="240"/>
      <c r="B108" s="261"/>
      <c r="C108" s="264"/>
      <c r="D108" s="264"/>
      <c r="E108" s="264"/>
      <c r="F108" s="248"/>
      <c r="G108" s="248"/>
      <c r="H108" s="248"/>
      <c r="I108" s="248"/>
      <c r="J108" s="248"/>
      <c r="K108" s="248"/>
      <c r="L108" s="248"/>
      <c r="M108" s="248"/>
      <c r="N108" s="248"/>
      <c r="O108" s="248"/>
      <c r="P108" s="248"/>
      <c r="Q108" s="248"/>
      <c r="R108" s="248"/>
      <c r="S108" s="248"/>
      <c r="T108" s="248"/>
      <c r="U108" s="248"/>
      <c r="V108" s="248"/>
      <c r="W108" s="248"/>
      <c r="X108" s="248"/>
      <c r="Y108" s="248"/>
      <c r="Z108" s="248"/>
      <c r="AA108" s="248"/>
      <c r="AB108" s="248"/>
      <c r="AC108" s="248"/>
      <c r="AD108" s="248"/>
      <c r="AE108" s="248"/>
      <c r="AF108" s="251"/>
      <c r="AH108" s="270"/>
      <c r="AI108" s="217"/>
      <c r="AJ108" s="217"/>
      <c r="AK108" s="120"/>
      <c r="AL108" s="42"/>
      <c r="AM108" s="200"/>
      <c r="AN108" s="201"/>
    </row>
    <row r="109" spans="1:40" x14ac:dyDescent="0.2">
      <c r="A109" s="241"/>
      <c r="B109" s="262"/>
      <c r="C109" s="265"/>
      <c r="D109" s="265"/>
      <c r="E109" s="265"/>
      <c r="F109" s="249"/>
      <c r="G109" s="249"/>
      <c r="H109" s="249"/>
      <c r="I109" s="249"/>
      <c r="J109" s="249"/>
      <c r="K109" s="249"/>
      <c r="L109" s="249"/>
      <c r="M109" s="249"/>
      <c r="N109" s="249"/>
      <c r="O109" s="249"/>
      <c r="P109" s="249"/>
      <c r="Q109" s="249"/>
      <c r="R109" s="249"/>
      <c r="S109" s="249"/>
      <c r="T109" s="249"/>
      <c r="U109" s="249"/>
      <c r="V109" s="249"/>
      <c r="W109" s="249"/>
      <c r="X109" s="249"/>
      <c r="Y109" s="249"/>
      <c r="Z109" s="249"/>
      <c r="AA109" s="249"/>
      <c r="AB109" s="249"/>
      <c r="AC109" s="249"/>
      <c r="AD109" s="249"/>
      <c r="AE109" s="249"/>
      <c r="AF109" s="252"/>
      <c r="AH109" s="271"/>
      <c r="AI109" s="217"/>
      <c r="AJ109" s="217"/>
      <c r="AK109" s="120"/>
      <c r="AL109" s="42"/>
      <c r="AM109" s="200"/>
      <c r="AN109" s="201"/>
    </row>
    <row r="110" spans="1:40" x14ac:dyDescent="0.2">
      <c r="A110" s="125"/>
      <c r="B110" s="260"/>
      <c r="C110" s="263"/>
      <c r="D110" s="263"/>
      <c r="E110" s="263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  <c r="U110" s="247"/>
      <c r="V110" s="247"/>
      <c r="W110" s="247"/>
      <c r="X110" s="247"/>
      <c r="Y110" s="247"/>
      <c r="Z110" s="247"/>
      <c r="AA110" s="247"/>
      <c r="AB110" s="247"/>
      <c r="AC110" s="247"/>
      <c r="AD110" s="247"/>
      <c r="AE110" s="247"/>
      <c r="AF110" s="250"/>
      <c r="AH110" s="269">
        <f>SUM(B110:AF110)</f>
        <v>0</v>
      </c>
      <c r="AI110" s="216">
        <f>IFERROR(VLOOKUP($A110,'外出交通費精算明細書 (3段)'!$AD$13:$AE$48,2,FALSE),0)+IFERROR(VLOOKUP($A110,'外出交通費精算明細書 (4段)'!$AD$13:$AE$48,2,FALSE),0)</f>
        <v>0</v>
      </c>
      <c r="AJ110" s="297"/>
      <c r="AK110" s="120"/>
      <c r="AL110" s="42"/>
      <c r="AM110" s="200"/>
      <c r="AN110" s="201"/>
    </row>
    <row r="111" spans="1:40" x14ac:dyDescent="0.2">
      <c r="A111" s="287"/>
      <c r="B111" s="261"/>
      <c r="C111" s="264"/>
      <c r="D111" s="264"/>
      <c r="E111" s="264"/>
      <c r="F111" s="248"/>
      <c r="G111" s="248"/>
      <c r="H111" s="248"/>
      <c r="I111" s="248"/>
      <c r="J111" s="248"/>
      <c r="K111" s="248"/>
      <c r="L111" s="248"/>
      <c r="M111" s="248"/>
      <c r="N111" s="248"/>
      <c r="O111" s="248"/>
      <c r="P111" s="248"/>
      <c r="Q111" s="248"/>
      <c r="R111" s="248"/>
      <c r="S111" s="248"/>
      <c r="T111" s="248"/>
      <c r="U111" s="248"/>
      <c r="V111" s="248"/>
      <c r="W111" s="248"/>
      <c r="X111" s="248"/>
      <c r="Y111" s="248"/>
      <c r="Z111" s="248"/>
      <c r="AA111" s="248"/>
      <c r="AB111" s="248"/>
      <c r="AC111" s="248"/>
      <c r="AD111" s="248"/>
      <c r="AE111" s="248"/>
      <c r="AF111" s="251"/>
      <c r="AH111" s="270"/>
      <c r="AI111" s="217"/>
      <c r="AJ111" s="298"/>
      <c r="AK111" s="120"/>
      <c r="AL111" s="42"/>
      <c r="AM111" s="200"/>
      <c r="AN111" s="201"/>
    </row>
    <row r="112" spans="1:40" x14ac:dyDescent="0.2">
      <c r="A112" s="287"/>
      <c r="B112" s="261"/>
      <c r="C112" s="264"/>
      <c r="D112" s="264"/>
      <c r="E112" s="264"/>
      <c r="F112" s="248"/>
      <c r="G112" s="248"/>
      <c r="H112" s="248"/>
      <c r="I112" s="248"/>
      <c r="J112" s="248"/>
      <c r="K112" s="248"/>
      <c r="L112" s="248"/>
      <c r="M112" s="248"/>
      <c r="N112" s="248"/>
      <c r="O112" s="248"/>
      <c r="P112" s="248"/>
      <c r="Q112" s="248"/>
      <c r="R112" s="248"/>
      <c r="S112" s="248"/>
      <c r="T112" s="248"/>
      <c r="U112" s="248"/>
      <c r="V112" s="248"/>
      <c r="W112" s="248"/>
      <c r="X112" s="248"/>
      <c r="Y112" s="248"/>
      <c r="Z112" s="248"/>
      <c r="AA112" s="248"/>
      <c r="AB112" s="248"/>
      <c r="AC112" s="248"/>
      <c r="AD112" s="248"/>
      <c r="AE112" s="248"/>
      <c r="AF112" s="251"/>
      <c r="AH112" s="270"/>
      <c r="AI112" s="217"/>
      <c r="AJ112" s="297"/>
      <c r="AK112" s="120"/>
      <c r="AL112" s="42"/>
      <c r="AM112" s="200"/>
      <c r="AN112" s="201"/>
    </row>
    <row r="113" spans="1:40" x14ac:dyDescent="0.2">
      <c r="A113" s="288"/>
      <c r="B113" s="262"/>
      <c r="C113" s="265"/>
      <c r="D113" s="265"/>
      <c r="E113" s="265"/>
      <c r="F113" s="249"/>
      <c r="G113" s="249"/>
      <c r="H113" s="249"/>
      <c r="I113" s="249"/>
      <c r="J113" s="249"/>
      <c r="K113" s="249"/>
      <c r="L113" s="249"/>
      <c r="M113" s="249"/>
      <c r="N113" s="249"/>
      <c r="O113" s="249"/>
      <c r="P113" s="249"/>
      <c r="Q113" s="249"/>
      <c r="R113" s="249"/>
      <c r="S113" s="249"/>
      <c r="T113" s="249"/>
      <c r="U113" s="249"/>
      <c r="V113" s="249"/>
      <c r="W113" s="249"/>
      <c r="X113" s="249"/>
      <c r="Y113" s="249"/>
      <c r="Z113" s="249"/>
      <c r="AA113" s="249"/>
      <c r="AB113" s="249"/>
      <c r="AC113" s="249"/>
      <c r="AD113" s="249"/>
      <c r="AE113" s="249"/>
      <c r="AF113" s="252"/>
      <c r="AH113" s="271"/>
      <c r="AI113" s="217"/>
      <c r="AJ113" s="298"/>
      <c r="AK113" s="120"/>
      <c r="AL113" s="42"/>
      <c r="AM113" s="200"/>
      <c r="AN113" s="201"/>
    </row>
    <row r="114" spans="1:40" hidden="1" x14ac:dyDescent="0.2">
      <c r="A114" s="127" t="s">
        <v>85</v>
      </c>
      <c r="B114" s="266"/>
      <c r="C114" s="244"/>
      <c r="D114" s="244"/>
      <c r="E114" s="244"/>
      <c r="F114" s="244"/>
      <c r="G114" s="244"/>
      <c r="H114" s="244"/>
      <c r="I114" s="244"/>
      <c r="J114" s="244"/>
      <c r="K114" s="244"/>
      <c r="L114" s="244"/>
      <c r="M114" s="244"/>
      <c r="N114" s="244"/>
      <c r="O114" s="244"/>
      <c r="P114" s="244"/>
      <c r="Q114" s="244"/>
      <c r="R114" s="244"/>
      <c r="S114" s="244"/>
      <c r="T114" s="244"/>
      <c r="U114" s="244"/>
      <c r="V114" s="244"/>
      <c r="W114" s="244"/>
      <c r="X114" s="244"/>
      <c r="Y114" s="244"/>
      <c r="Z114" s="244"/>
      <c r="AA114" s="244"/>
      <c r="AB114" s="244"/>
      <c r="AC114" s="244"/>
      <c r="AD114" s="244"/>
      <c r="AE114" s="244"/>
      <c r="AF114" s="253"/>
      <c r="AG114" s="126"/>
      <c r="AH114" s="272">
        <f>SUM(B114:AF114)</f>
        <v>0</v>
      </c>
      <c r="AI114" s="215"/>
      <c r="AJ114" s="215"/>
      <c r="AK114" s="120"/>
      <c r="AM114" s="144"/>
      <c r="AN114" s="43"/>
    </row>
    <row r="115" spans="1:40" hidden="1" x14ac:dyDescent="0.2">
      <c r="A115" s="242"/>
      <c r="B115" s="267"/>
      <c r="C115" s="245"/>
      <c r="D115" s="245"/>
      <c r="E115" s="245"/>
      <c r="F115" s="245"/>
      <c r="G115" s="245"/>
      <c r="H115" s="245"/>
      <c r="I115" s="245"/>
      <c r="J115" s="245"/>
      <c r="K115" s="245"/>
      <c r="L115" s="245"/>
      <c r="M115" s="245"/>
      <c r="N115" s="245"/>
      <c r="O115" s="245"/>
      <c r="P115" s="245"/>
      <c r="Q115" s="245"/>
      <c r="R115" s="245"/>
      <c r="S115" s="245"/>
      <c r="T115" s="245"/>
      <c r="U115" s="245"/>
      <c r="V115" s="245"/>
      <c r="W115" s="245"/>
      <c r="X115" s="245"/>
      <c r="Y115" s="245"/>
      <c r="Z115" s="245"/>
      <c r="AA115" s="245"/>
      <c r="AB115" s="245"/>
      <c r="AC115" s="245"/>
      <c r="AD115" s="245"/>
      <c r="AE115" s="245"/>
      <c r="AF115" s="254"/>
      <c r="AG115" s="126"/>
      <c r="AH115" s="273"/>
      <c r="AI115" s="215"/>
      <c r="AJ115" s="215"/>
      <c r="AK115" s="120"/>
      <c r="AM115" s="144"/>
      <c r="AN115" s="43"/>
    </row>
    <row r="116" spans="1:40" hidden="1" x14ac:dyDescent="0.2">
      <c r="A116" s="242"/>
      <c r="B116" s="267"/>
      <c r="C116" s="245"/>
      <c r="D116" s="245"/>
      <c r="E116" s="245"/>
      <c r="F116" s="245"/>
      <c r="G116" s="245"/>
      <c r="H116" s="245"/>
      <c r="I116" s="245"/>
      <c r="J116" s="245"/>
      <c r="K116" s="245"/>
      <c r="L116" s="245"/>
      <c r="M116" s="245"/>
      <c r="N116" s="245"/>
      <c r="O116" s="245"/>
      <c r="P116" s="245"/>
      <c r="Q116" s="245"/>
      <c r="R116" s="245"/>
      <c r="S116" s="245"/>
      <c r="T116" s="245"/>
      <c r="U116" s="245"/>
      <c r="V116" s="245"/>
      <c r="W116" s="245"/>
      <c r="X116" s="245"/>
      <c r="Y116" s="245"/>
      <c r="Z116" s="245"/>
      <c r="AA116" s="245"/>
      <c r="AB116" s="245"/>
      <c r="AC116" s="245"/>
      <c r="AD116" s="245"/>
      <c r="AE116" s="245"/>
      <c r="AF116" s="254"/>
      <c r="AG116" s="126"/>
      <c r="AH116" s="273"/>
      <c r="AI116" s="215"/>
      <c r="AJ116" s="215"/>
      <c r="AK116" s="120"/>
      <c r="AM116" s="144"/>
      <c r="AN116" s="43"/>
    </row>
    <row r="117" spans="1:40" ht="13.8" hidden="1" thickBot="1" x14ac:dyDescent="0.25">
      <c r="A117" s="243"/>
      <c r="B117" s="268"/>
      <c r="C117" s="246"/>
      <c r="D117" s="246"/>
      <c r="E117" s="246"/>
      <c r="F117" s="246"/>
      <c r="G117" s="246"/>
      <c r="H117" s="246"/>
      <c r="I117" s="246"/>
      <c r="J117" s="246"/>
      <c r="K117" s="246"/>
      <c r="L117" s="246"/>
      <c r="M117" s="246"/>
      <c r="N117" s="246"/>
      <c r="O117" s="246"/>
      <c r="P117" s="246"/>
      <c r="Q117" s="246"/>
      <c r="R117" s="246"/>
      <c r="S117" s="246"/>
      <c r="T117" s="246"/>
      <c r="U117" s="246"/>
      <c r="V117" s="246"/>
      <c r="W117" s="246"/>
      <c r="X117" s="246"/>
      <c r="Y117" s="246"/>
      <c r="Z117" s="246"/>
      <c r="AA117" s="246"/>
      <c r="AB117" s="246"/>
      <c r="AC117" s="246"/>
      <c r="AD117" s="246"/>
      <c r="AE117" s="246"/>
      <c r="AF117" s="255"/>
      <c r="AG117" s="126"/>
      <c r="AH117" s="274"/>
      <c r="AI117" s="215"/>
      <c r="AJ117" s="215"/>
      <c r="AK117" s="120"/>
      <c r="AM117" s="145"/>
      <c r="AN117" s="47"/>
    </row>
    <row r="118" spans="1:40" x14ac:dyDescent="0.2">
      <c r="A118" s="70">
        <f>DATE(D1+2018,F1,1)</f>
        <v>44682</v>
      </c>
      <c r="B118" s="72">
        <f>IF( MONTH(B5) &lt;&gt; MONTH($A118), 0, IF( OR(WEEKDAY(B5,1)=1, WEEKDAY(B5,1)=7, IF( ISERROR(MATCH(B5, 祝日!$B$5:$B$39, 0)), 0, 1)&gt;0), 0, $U137))</f>
        <v>0</v>
      </c>
      <c r="C118" s="72">
        <f>IF( MONTH(C5) &lt;&gt; MONTH($A118), 0, IF( OR(WEEKDAY(C5,1)=1, WEEKDAY(C5,1)=7, IF( ISERROR(MATCH(C5, 祝日!$B$5:$B$39, 0)), 0, 1)&gt;0), 0, $U137))</f>
        <v>8</v>
      </c>
      <c r="D118" s="72">
        <f>IF( MONTH(D5) &lt;&gt; MONTH($A118), 0, IF( OR(WEEKDAY(D5,1)=1, WEEKDAY(D5,1)=7, IF( ISERROR(MATCH(D5, 祝日!$B$5:$B$39, 0)), 0, 1)&gt;0), 0, $U137))</f>
        <v>0</v>
      </c>
      <c r="E118" s="72">
        <f>IF( MONTH(E5) &lt;&gt; MONTH($A118), 0, IF( OR(WEEKDAY(E5,1)=1, WEEKDAY(E5,1)=7, IF( ISERROR(MATCH(E5, 祝日!$B$5:$B$39, 0)), 0, 1)&gt;0), 0, $U137))</f>
        <v>0</v>
      </c>
      <c r="F118" s="72">
        <f>IF( MONTH(F5) &lt;&gt; MONTH($A118), 0, IF( OR(WEEKDAY(F5,1)=1, WEEKDAY(F5,1)=7, IF( ISERROR(MATCH(F5, 祝日!$B$5:$B$39, 0)), 0, 1)&gt;0), 0, $U137))</f>
        <v>0</v>
      </c>
      <c r="G118" s="72">
        <f>IF( MONTH(G5) &lt;&gt; MONTH($A118), 0, IF( OR(WEEKDAY(G5,1)=1, WEEKDAY(G5,1)=7, IF( ISERROR(MATCH(G5, 祝日!$B$5:$B$39, 0)), 0, 1)&gt;0), 0, $U137))</f>
        <v>8</v>
      </c>
      <c r="H118" s="72">
        <f>IF( MONTH(H5) &lt;&gt; MONTH($A118), 0, IF( OR(WEEKDAY(H5,1)=1, WEEKDAY(H5,1)=7, IF( ISERROR(MATCH(H5, 祝日!$B$5:$B$39, 0)), 0, 1)&gt;0), 0, $U137))</f>
        <v>0</v>
      </c>
      <c r="I118" s="72">
        <f>IF( MONTH(I5) &lt;&gt; MONTH($A118), 0, IF( OR(WEEKDAY(I5,1)=1, WEEKDAY(I5,1)=7, IF( ISERROR(MATCH(I5, 祝日!$B$5:$B$39, 0)), 0, 1)&gt;0), 0, $U137))</f>
        <v>0</v>
      </c>
      <c r="J118" s="72">
        <f>IF( MONTH(J5) &lt;&gt; MONTH($A118), 0, IF( OR(WEEKDAY(J5,1)=1, WEEKDAY(J5,1)=7, IF( ISERROR(MATCH(J5, 祝日!$B$5:$B$39, 0)), 0, 1)&gt;0), 0, $U137))</f>
        <v>8</v>
      </c>
      <c r="K118" s="72">
        <f>IF( MONTH(K5) &lt;&gt; MONTH($A118), 0, IF( OR(WEEKDAY(K5,1)=1, WEEKDAY(K5,1)=7, IF( ISERROR(MATCH(K5, 祝日!$B$5:$B$39, 0)), 0, 1)&gt;0), 0, $U137))</f>
        <v>8</v>
      </c>
      <c r="L118" s="72">
        <f>IF( MONTH(L5) &lt;&gt; MONTH($A118), 0, IF( OR(WEEKDAY(L5,1)=1, WEEKDAY(L5,1)=7, IF( ISERROR(MATCH(L5, 祝日!$B$5:$B$39, 0)), 0, 1)&gt;0), 0, $U137))</f>
        <v>8</v>
      </c>
      <c r="M118" s="72">
        <f>IF( MONTH(M5) &lt;&gt; MONTH($A118), 0, IF( OR(WEEKDAY(M5,1)=1, WEEKDAY(M5,1)=7, IF( ISERROR(MATCH(M5, 祝日!$B$5:$B$39, 0)), 0, 1)&gt;0), 0, $U137))</f>
        <v>8</v>
      </c>
      <c r="N118" s="72">
        <f>IF( MONTH(N5) &lt;&gt; MONTH($A118), 0, IF( OR(WEEKDAY(N5,1)=1, WEEKDAY(N5,1)=7, IF( ISERROR(MATCH(N5, 祝日!$B$5:$B$39, 0)), 0, 1)&gt;0), 0, $U137))</f>
        <v>8</v>
      </c>
      <c r="O118" s="72">
        <f>IF( MONTH(O5) &lt;&gt; MONTH($A118), 0, IF( OR(WEEKDAY(O5,1)=1, WEEKDAY(O5,1)=7, IF( ISERROR(MATCH(O5, 祝日!$B$5:$B$39, 0)), 0, 1)&gt;0), 0, $U137))</f>
        <v>0</v>
      </c>
      <c r="P118" s="72">
        <f>IF( MONTH(P5) &lt;&gt; MONTH($A118), 0, IF( OR(WEEKDAY(P5,1)=1, WEEKDAY(P5,1)=7, IF( ISERROR(MATCH(P5, 祝日!$B$5:$B$39, 0)), 0, 1)&gt;0), 0, $U137))</f>
        <v>0</v>
      </c>
      <c r="Q118" s="72">
        <f>IF( MONTH(Q5) &lt;&gt; MONTH($A118), 0, IF( OR(WEEKDAY(Q5,1)=1, WEEKDAY(Q5,1)=7, IF( ISERROR(MATCH(Q5, 祝日!$B$5:$B$39, 0)), 0, 1)&gt;0), 0, $U137))</f>
        <v>8</v>
      </c>
      <c r="R118" s="72">
        <f>IF( MONTH(R5) &lt;&gt; MONTH($A118), 0, IF( OR(WEEKDAY(R5,1)=1, WEEKDAY(R5,1)=7, IF( ISERROR(MATCH(R5, 祝日!$B$5:$B$39, 0)), 0, 1)&gt;0), 0, $U137))</f>
        <v>8</v>
      </c>
      <c r="S118" s="72">
        <f>IF( MONTH(S5) &lt;&gt; MONTH($A118), 0, IF( OR(WEEKDAY(S5,1)=1, WEEKDAY(S5,1)=7, IF( ISERROR(MATCH(S5, 祝日!$B$5:$B$39, 0)), 0, 1)&gt;0), 0, $U137))</f>
        <v>8</v>
      </c>
      <c r="T118" s="72">
        <f>IF( MONTH(T5) &lt;&gt; MONTH($A118), 0, IF( OR(WEEKDAY(T5,1)=1, WEEKDAY(T5,1)=7, IF( ISERROR(MATCH(T5, 祝日!$B$5:$B$39, 0)), 0, 1)&gt;0), 0, $U137))</f>
        <v>8</v>
      </c>
      <c r="U118" s="72">
        <f>IF( MONTH(U5) &lt;&gt; MONTH($A118), 0, IF( OR(WEEKDAY(U5,1)=1, WEEKDAY(U5,1)=7, IF( ISERROR(MATCH(U5, 祝日!$B$5:$B$39, 0)), 0, 1)&gt;0), 0, $U137))</f>
        <v>8</v>
      </c>
      <c r="V118" s="72">
        <f>IF( MONTH(V5) &lt;&gt; MONTH($A118), 0, IF( OR(WEEKDAY(V5,1)=1, WEEKDAY(V5,1)=7, IF( ISERROR(MATCH(V5, 祝日!$B$5:$B$39, 0)), 0, 1)&gt;0), 0, $U137))</f>
        <v>0</v>
      </c>
      <c r="W118" s="72">
        <f>IF( MONTH(W5) &lt;&gt; MONTH($A118), 0, IF( OR(WEEKDAY(W5,1)=1, WEEKDAY(W5,1)=7, IF( ISERROR(MATCH(W5, 祝日!$B$5:$B$39, 0)), 0, 1)&gt;0), 0, $U137))</f>
        <v>0</v>
      </c>
      <c r="X118" s="72">
        <f>IF( MONTH(X5) &lt;&gt; MONTH($A118), 0, IF( OR(WEEKDAY(X5,1)=1, WEEKDAY(X5,1)=7, IF( ISERROR(MATCH(X5, 祝日!$B$5:$B$39, 0)), 0, 1)&gt;0), 0, $U137))</f>
        <v>8</v>
      </c>
      <c r="Y118" s="72">
        <f>IF( MONTH(Y5) &lt;&gt; MONTH($A118), 0, IF( OR(WEEKDAY(Y5,1)=1, WEEKDAY(Y5,1)=7, IF( ISERROR(MATCH(Y5, 祝日!$B$5:$B$39, 0)), 0, 1)&gt;0), 0, $U137))</f>
        <v>8</v>
      </c>
      <c r="Z118" s="72">
        <f>IF( MONTH(Z5) &lt;&gt; MONTH($A118), 0, IF( OR(WEEKDAY(Z5,1)=1, WEEKDAY(Z5,1)=7, IF( ISERROR(MATCH(Z5, 祝日!$B$5:$B$39, 0)), 0, 1)&gt;0), 0, $U137))</f>
        <v>8</v>
      </c>
      <c r="AA118" s="72">
        <f>IF( MONTH(AA5) &lt;&gt; MONTH($A118), 0, IF( OR(WEEKDAY(AA5,1)=1, WEEKDAY(AA5,1)=7, IF( ISERROR(MATCH(AA5, 祝日!$B$5:$B$39, 0)), 0, 1)&gt;0), 0, $U137))</f>
        <v>8</v>
      </c>
      <c r="AB118" s="72">
        <f>IF( MONTH(AB5) &lt;&gt; MONTH($A118), 0, IF( OR(WEEKDAY(AB5,1)=1, WEEKDAY(AB5,1)=7, IF( ISERROR(MATCH(AB5, 祝日!$B$5:$B$39, 0)), 0, 1)&gt;0), 0, $U137))</f>
        <v>8</v>
      </c>
      <c r="AC118" s="72">
        <f>IF( MONTH(AC5) &lt;&gt; MONTH($A118), 0, IF( OR(WEEKDAY(AC5,1)=1, WEEKDAY(AC5,1)=7, IF( ISERROR(MATCH(AC5, 祝日!$B$5:$B$39, 0)), 0, 1)&gt;0), 0, $U137))</f>
        <v>0</v>
      </c>
      <c r="AD118" s="72">
        <f>IF( MONTH(AD5) &lt;&gt; MONTH($A118), 0, IF( OR(WEEKDAY(AD5,1)=1, WEEKDAY(AD5,1)=7, IF( ISERROR(MATCH(AD5, 祝日!$B$5:$B$39, 0)), 0, 1)&gt;0), 0, $U137))</f>
        <v>0</v>
      </c>
      <c r="AE118" s="72">
        <f>IF( MONTH(AE5) &lt;&gt; MONTH($A118), 0, IF( OR(WEEKDAY(AE5,1)=1, WEEKDAY(AE5,1)=7, IF( ISERROR(MATCH(AE5, 祝日!$B$5:$B$39, 0)), 0, 1)&gt;0), 0, $U137))</f>
        <v>8</v>
      </c>
      <c r="AF118" s="72">
        <f>IF( MONTH(AF5) &lt;&gt; MONTH($A118), 0, IF( OR(WEEKDAY(AF5,1)=1, WEEKDAY(AF5,1)=7, IF( ISERROR(MATCH(AF5, 祝日!$B$5:$B$39, 0)), 0, 1)&gt;0), 0, $U137))</f>
        <v>8</v>
      </c>
      <c r="AH118" s="17"/>
      <c r="AI118" s="17"/>
      <c r="AJ118" s="17"/>
      <c r="AK118" s="17"/>
      <c r="AN118" s="18"/>
    </row>
    <row r="119" spans="1:40" ht="9" customHeight="1" thickBot="1" x14ac:dyDescent="0.25">
      <c r="A119" s="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1:40" ht="14.4" thickTop="1" thickBot="1" x14ac:dyDescent="0.25">
      <c r="A120" s="20"/>
      <c r="B120" s="256"/>
      <c r="C120" s="257"/>
      <c r="D120" s="258" t="s">
        <v>7</v>
      </c>
      <c r="E120" s="259"/>
      <c r="F120" s="259"/>
      <c r="G120" s="259"/>
      <c r="H120" s="6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H120" s="33"/>
      <c r="AI120" s="33"/>
      <c r="AJ120" s="33"/>
      <c r="AK120" s="33"/>
    </row>
    <row r="121" spans="1:40" ht="9" customHeight="1" thickTop="1" x14ac:dyDescent="0.2">
      <c r="A121" s="20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H121" s="33"/>
      <c r="AI121" s="33"/>
      <c r="AJ121" s="33"/>
      <c r="AK121" s="33"/>
    </row>
    <row r="122" spans="1:40" x14ac:dyDescent="0.2">
      <c r="C122" s="56" t="s">
        <v>35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8"/>
      <c r="AH122" s="59"/>
      <c r="AI122" s="124"/>
      <c r="AJ122" s="124"/>
      <c r="AK122" s="124"/>
      <c r="AN122" s="40"/>
    </row>
    <row r="123" spans="1:40" x14ac:dyDescent="0.2">
      <c r="C123" s="60"/>
      <c r="D123" s="221"/>
      <c r="E123" s="221"/>
      <c r="F123" s="221" t="s">
        <v>23</v>
      </c>
      <c r="G123" s="221"/>
      <c r="H123" s="221"/>
      <c r="I123" s="221"/>
      <c r="J123" s="221" t="s">
        <v>22</v>
      </c>
      <c r="K123" s="221"/>
      <c r="L123" s="221"/>
      <c r="M123" s="221"/>
      <c r="N123" s="221" t="s">
        <v>24</v>
      </c>
      <c r="O123" s="221"/>
      <c r="P123" s="221"/>
      <c r="Q123" s="221"/>
      <c r="R123" s="221" t="s">
        <v>61</v>
      </c>
      <c r="S123" s="221"/>
      <c r="T123" s="221"/>
      <c r="U123" s="221"/>
      <c r="V123" s="221" t="s">
        <v>25</v>
      </c>
      <c r="W123" s="221"/>
      <c r="X123" s="221"/>
      <c r="Y123" s="221"/>
      <c r="Z123" s="226" t="s">
        <v>26</v>
      </c>
      <c r="AA123" s="227"/>
      <c r="AB123" s="227"/>
      <c r="AC123" s="228"/>
      <c r="AD123" s="61"/>
      <c r="AE123" s="61"/>
      <c r="AF123" s="61"/>
      <c r="AG123" s="58"/>
      <c r="AH123" s="62"/>
      <c r="AI123" s="124"/>
      <c r="AJ123" s="124"/>
      <c r="AK123" s="124"/>
    </row>
    <row r="124" spans="1:40" x14ac:dyDescent="0.2">
      <c r="C124" s="60"/>
      <c r="D124" s="221" t="s">
        <v>27</v>
      </c>
      <c r="E124" s="221"/>
      <c r="F124" s="229">
        <f>D139</f>
        <v>8</v>
      </c>
      <c r="G124" s="229"/>
      <c r="H124" s="229"/>
      <c r="I124" s="229"/>
      <c r="J124" s="229">
        <f>D140</f>
        <v>4</v>
      </c>
      <c r="K124" s="229"/>
      <c r="L124" s="229"/>
      <c r="M124" s="229"/>
      <c r="N124" s="229">
        <f>D141</f>
        <v>4</v>
      </c>
      <c r="O124" s="229"/>
      <c r="P124" s="229"/>
      <c r="Q124" s="229"/>
      <c r="R124" s="229">
        <f>D142</f>
        <v>8</v>
      </c>
      <c r="S124" s="229"/>
      <c r="T124" s="229"/>
      <c r="U124" s="229"/>
      <c r="V124" s="229">
        <f>D143</f>
        <v>-8</v>
      </c>
      <c r="W124" s="229"/>
      <c r="X124" s="229"/>
      <c r="Y124" s="229"/>
      <c r="Z124" s="218">
        <f>D144</f>
        <v>8</v>
      </c>
      <c r="AA124" s="219"/>
      <c r="AB124" s="219"/>
      <c r="AC124" s="220"/>
      <c r="AD124" s="61"/>
      <c r="AE124" s="61"/>
      <c r="AF124" s="61"/>
      <c r="AG124" s="58"/>
      <c r="AH124" s="62"/>
      <c r="AI124" s="124"/>
      <c r="AJ124" s="124"/>
      <c r="AK124" s="124"/>
    </row>
    <row r="125" spans="1:40" x14ac:dyDescent="0.2">
      <c r="C125" s="60"/>
      <c r="D125" s="221" t="s">
        <v>52</v>
      </c>
      <c r="E125" s="221"/>
      <c r="F125" s="222" t="s">
        <v>29</v>
      </c>
      <c r="G125" s="222"/>
      <c r="H125" s="222"/>
      <c r="I125" s="222"/>
      <c r="J125" s="222" t="s">
        <v>30</v>
      </c>
      <c r="K125" s="222"/>
      <c r="L125" s="222"/>
      <c r="M125" s="222"/>
      <c r="N125" s="222" t="s">
        <v>31</v>
      </c>
      <c r="O125" s="222"/>
      <c r="P125" s="222"/>
      <c r="Q125" s="222"/>
      <c r="R125" s="222" t="s">
        <v>34</v>
      </c>
      <c r="S125" s="222"/>
      <c r="T125" s="222"/>
      <c r="U125" s="222"/>
      <c r="V125" s="222" t="s">
        <v>32</v>
      </c>
      <c r="W125" s="222"/>
      <c r="X125" s="222"/>
      <c r="Y125" s="222"/>
      <c r="Z125" s="223" t="s">
        <v>33</v>
      </c>
      <c r="AA125" s="224"/>
      <c r="AB125" s="224"/>
      <c r="AC125" s="225"/>
      <c r="AD125" s="61"/>
      <c r="AE125" s="61"/>
      <c r="AF125" s="61"/>
      <c r="AG125" s="58"/>
      <c r="AH125" s="62"/>
      <c r="AI125" s="124"/>
      <c r="AJ125" s="124"/>
      <c r="AK125" s="124"/>
    </row>
    <row r="126" spans="1:40" x14ac:dyDescent="0.2">
      <c r="C126" s="60"/>
      <c r="D126" s="221" t="s">
        <v>28</v>
      </c>
      <c r="E126" s="221"/>
      <c r="F126" s="230" t="s">
        <v>58</v>
      </c>
      <c r="G126" s="230"/>
      <c r="H126" s="230"/>
      <c r="I126" s="230"/>
      <c r="J126" s="230" t="s">
        <v>58</v>
      </c>
      <c r="K126" s="230"/>
      <c r="L126" s="230"/>
      <c r="M126" s="230"/>
      <c r="N126" s="230" t="s">
        <v>58</v>
      </c>
      <c r="O126" s="230"/>
      <c r="P126" s="230"/>
      <c r="Q126" s="230"/>
      <c r="R126" s="230" t="s">
        <v>58</v>
      </c>
      <c r="S126" s="230"/>
      <c r="T126" s="230"/>
      <c r="U126" s="230"/>
      <c r="V126" s="222" t="s">
        <v>55</v>
      </c>
      <c r="W126" s="222"/>
      <c r="X126" s="222"/>
      <c r="Y126" s="222"/>
      <c r="Z126" s="223" t="s">
        <v>54</v>
      </c>
      <c r="AA126" s="224"/>
      <c r="AB126" s="224"/>
      <c r="AC126" s="225"/>
      <c r="AD126" s="61"/>
      <c r="AE126" s="61"/>
      <c r="AF126" s="61"/>
      <c r="AG126" s="58"/>
      <c r="AH126" s="62"/>
      <c r="AI126" s="124"/>
      <c r="AJ126" s="124"/>
      <c r="AK126" s="124"/>
    </row>
    <row r="127" spans="1:40" x14ac:dyDescent="0.2">
      <c r="C127" s="60"/>
      <c r="D127" s="63" t="s">
        <v>53</v>
      </c>
      <c r="E127" s="64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1"/>
      <c r="AE127" s="61"/>
      <c r="AF127" s="61"/>
      <c r="AG127" s="58"/>
      <c r="AH127" s="62"/>
      <c r="AI127" s="124"/>
      <c r="AJ127" s="124"/>
      <c r="AK127" s="124"/>
    </row>
    <row r="128" spans="1:40" x14ac:dyDescent="0.2">
      <c r="C128" s="60"/>
      <c r="D128" s="66" t="s">
        <v>56</v>
      </c>
      <c r="E128" s="64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1"/>
      <c r="AE128" s="61"/>
      <c r="AF128" s="61"/>
      <c r="AG128" s="58"/>
      <c r="AH128" s="62"/>
      <c r="AI128" s="124"/>
      <c r="AJ128" s="124"/>
      <c r="AK128" s="124"/>
    </row>
    <row r="129" spans="3:37" x14ac:dyDescent="0.2">
      <c r="C129" s="60"/>
      <c r="D129" s="66" t="s">
        <v>57</v>
      </c>
      <c r="E129" s="64"/>
      <c r="F129" s="64"/>
      <c r="G129" s="64"/>
      <c r="H129" s="64"/>
      <c r="I129" s="64"/>
      <c r="J129" s="64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1"/>
      <c r="AE129" s="61"/>
      <c r="AF129" s="61"/>
      <c r="AG129" s="58"/>
      <c r="AH129" s="62"/>
      <c r="AI129" s="124"/>
      <c r="AJ129" s="124"/>
      <c r="AK129" s="124"/>
    </row>
    <row r="130" spans="3:37" ht="13.8" thickBot="1" x14ac:dyDescent="0.25">
      <c r="C130" s="60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58"/>
      <c r="AH130" s="62"/>
      <c r="AI130" s="124"/>
      <c r="AJ130" s="124"/>
      <c r="AK130" s="124"/>
    </row>
    <row r="131" spans="3:37" ht="13.5" customHeight="1" thickTop="1" x14ac:dyDescent="0.2">
      <c r="C131" s="231" t="s">
        <v>48</v>
      </c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32"/>
      <c r="S131" s="232"/>
      <c r="T131" s="232"/>
      <c r="U131" s="232"/>
      <c r="V131" s="232"/>
      <c r="W131" s="232"/>
      <c r="X131" s="232"/>
      <c r="Y131" s="232"/>
      <c r="Z131" s="232"/>
      <c r="AA131" s="232"/>
      <c r="AB131" s="232"/>
      <c r="AC131" s="232"/>
      <c r="AD131" s="232"/>
      <c r="AE131" s="232"/>
      <c r="AF131" s="232"/>
      <c r="AG131" s="232"/>
      <c r="AH131" s="233"/>
      <c r="AI131" s="119"/>
      <c r="AJ131" s="119"/>
      <c r="AK131" s="119"/>
    </row>
    <row r="132" spans="3:37" x14ac:dyDescent="0.2">
      <c r="C132" s="234"/>
      <c r="D132" s="235"/>
      <c r="E132" s="235"/>
      <c r="F132" s="235"/>
      <c r="G132" s="235"/>
      <c r="H132" s="235"/>
      <c r="I132" s="235"/>
      <c r="J132" s="235"/>
      <c r="K132" s="235"/>
      <c r="L132" s="235"/>
      <c r="M132" s="235"/>
      <c r="N132" s="235"/>
      <c r="O132" s="235"/>
      <c r="P132" s="235"/>
      <c r="Q132" s="235"/>
      <c r="R132" s="235"/>
      <c r="S132" s="235"/>
      <c r="T132" s="235"/>
      <c r="U132" s="235"/>
      <c r="V132" s="235"/>
      <c r="W132" s="235"/>
      <c r="X132" s="235"/>
      <c r="Y132" s="235"/>
      <c r="Z132" s="235"/>
      <c r="AA132" s="235"/>
      <c r="AB132" s="235"/>
      <c r="AC132" s="235"/>
      <c r="AD132" s="235"/>
      <c r="AE132" s="235"/>
      <c r="AF132" s="235"/>
      <c r="AG132" s="235"/>
      <c r="AH132" s="236"/>
      <c r="AI132" s="119"/>
      <c r="AJ132" s="119"/>
      <c r="AK132" s="119"/>
    </row>
    <row r="133" spans="3:37" x14ac:dyDescent="0.2">
      <c r="C133" s="234"/>
      <c r="D133" s="235"/>
      <c r="E133" s="235"/>
      <c r="F133" s="235"/>
      <c r="G133" s="235"/>
      <c r="H133" s="235"/>
      <c r="I133" s="235"/>
      <c r="J133" s="235"/>
      <c r="K133" s="235"/>
      <c r="L133" s="235"/>
      <c r="M133" s="235"/>
      <c r="N133" s="235"/>
      <c r="O133" s="235"/>
      <c r="P133" s="235"/>
      <c r="Q133" s="235"/>
      <c r="R133" s="235"/>
      <c r="S133" s="235"/>
      <c r="T133" s="235"/>
      <c r="U133" s="235"/>
      <c r="V133" s="235"/>
      <c r="W133" s="235"/>
      <c r="X133" s="235"/>
      <c r="Y133" s="235"/>
      <c r="Z133" s="235"/>
      <c r="AA133" s="235"/>
      <c r="AB133" s="235"/>
      <c r="AC133" s="235"/>
      <c r="AD133" s="235"/>
      <c r="AE133" s="235"/>
      <c r="AF133" s="235"/>
      <c r="AG133" s="235"/>
      <c r="AH133" s="236"/>
      <c r="AI133" s="119"/>
      <c r="AJ133" s="119"/>
      <c r="AK133" s="119"/>
    </row>
    <row r="134" spans="3:37" ht="13.8" thickBot="1" x14ac:dyDescent="0.25">
      <c r="C134" s="237"/>
      <c r="D134" s="238"/>
      <c r="E134" s="238"/>
      <c r="F134" s="238"/>
      <c r="G134" s="238"/>
      <c r="H134" s="238"/>
      <c r="I134" s="238"/>
      <c r="J134" s="238"/>
      <c r="K134" s="238"/>
      <c r="L134" s="238"/>
      <c r="M134" s="238"/>
      <c r="N134" s="238"/>
      <c r="O134" s="238"/>
      <c r="P134" s="238"/>
      <c r="Q134" s="238"/>
      <c r="R134" s="238"/>
      <c r="S134" s="238"/>
      <c r="T134" s="238"/>
      <c r="U134" s="238"/>
      <c r="V134" s="238"/>
      <c r="W134" s="238"/>
      <c r="X134" s="238"/>
      <c r="Y134" s="238"/>
      <c r="Z134" s="238"/>
      <c r="AA134" s="238"/>
      <c r="AB134" s="238"/>
      <c r="AC134" s="238"/>
      <c r="AD134" s="238"/>
      <c r="AE134" s="238"/>
      <c r="AF134" s="238"/>
      <c r="AG134" s="238"/>
      <c r="AH134" s="239"/>
      <c r="AI134" s="119"/>
      <c r="AJ134" s="119"/>
      <c r="AK134" s="119"/>
    </row>
    <row r="135" spans="3:37" ht="13.8" thickTop="1" x14ac:dyDescent="0.2"/>
    <row r="137" spans="3:37" x14ac:dyDescent="0.2">
      <c r="C137" s="73" t="s">
        <v>39</v>
      </c>
      <c r="D137" s="74"/>
      <c r="E137" s="74"/>
      <c r="F137" s="74"/>
      <c r="G137" s="74"/>
      <c r="H137" s="75"/>
      <c r="I137" s="36"/>
      <c r="J137" s="73" t="s">
        <v>40</v>
      </c>
      <c r="K137" s="81"/>
      <c r="L137" s="81"/>
      <c r="M137" s="82"/>
      <c r="R137" s="294" t="s">
        <v>74</v>
      </c>
      <c r="S137" s="295"/>
      <c r="T137" s="296"/>
      <c r="U137" s="118">
        <v>8</v>
      </c>
    </row>
    <row r="138" spans="3:37" x14ac:dyDescent="0.2">
      <c r="C138" s="87" t="s">
        <v>49</v>
      </c>
      <c r="D138" s="87" t="s">
        <v>50</v>
      </c>
      <c r="E138" s="76"/>
      <c r="F138" s="77"/>
      <c r="G138" s="77"/>
      <c r="H138" s="78"/>
      <c r="J138" s="73" t="s">
        <v>42</v>
      </c>
      <c r="K138" s="81"/>
      <c r="L138" s="81"/>
      <c r="M138" s="82"/>
    </row>
    <row r="139" spans="3:37" x14ac:dyDescent="0.2">
      <c r="C139" s="85" t="s">
        <v>29</v>
      </c>
      <c r="D139" s="88">
        <f>U137</f>
        <v>8</v>
      </c>
      <c r="E139" s="77"/>
      <c r="F139" s="77"/>
      <c r="G139" s="77"/>
      <c r="H139" s="78"/>
      <c r="J139" s="83" t="s">
        <v>43</v>
      </c>
      <c r="K139" s="77"/>
      <c r="L139" s="77"/>
      <c r="M139" s="78"/>
      <c r="R139" s="292" t="s">
        <v>123</v>
      </c>
      <c r="S139" s="293"/>
      <c r="T139" s="293"/>
      <c r="U139" s="140">
        <f>IF(AI3 = "A", D148, IF(AI3 = "B", D149, 0))</f>
        <v>3.5</v>
      </c>
    </row>
    <row r="140" spans="3:37" x14ac:dyDescent="0.2">
      <c r="C140" s="85" t="s">
        <v>37</v>
      </c>
      <c r="D140" s="88">
        <f>U137/2</f>
        <v>4</v>
      </c>
      <c r="E140" s="77"/>
      <c r="F140" s="77"/>
      <c r="G140" s="77"/>
      <c r="H140" s="78"/>
      <c r="J140" s="83" t="s">
        <v>44</v>
      </c>
      <c r="K140" s="77"/>
      <c r="L140" s="77"/>
      <c r="M140" s="78"/>
      <c r="R140" s="139"/>
      <c r="S140" s="139"/>
      <c r="T140" s="139"/>
      <c r="U140" s="139"/>
    </row>
    <row r="141" spans="3:37" x14ac:dyDescent="0.2">
      <c r="C141" s="85" t="s">
        <v>38</v>
      </c>
      <c r="D141" s="88">
        <f>U137/2</f>
        <v>4</v>
      </c>
      <c r="E141" s="77"/>
      <c r="F141" s="77"/>
      <c r="G141" s="77"/>
      <c r="H141" s="78"/>
      <c r="J141" s="83" t="s">
        <v>45</v>
      </c>
      <c r="K141" s="77"/>
      <c r="L141" s="77"/>
      <c r="M141" s="78"/>
    </row>
    <row r="142" spans="3:37" x14ac:dyDescent="0.2">
      <c r="C142" s="85" t="s">
        <v>34</v>
      </c>
      <c r="D142" s="88">
        <f>U137</f>
        <v>8</v>
      </c>
      <c r="E142" s="77"/>
      <c r="F142" s="77"/>
      <c r="G142" s="77"/>
      <c r="H142" s="78"/>
      <c r="J142" s="83" t="s">
        <v>46</v>
      </c>
      <c r="K142" s="77"/>
      <c r="L142" s="77"/>
      <c r="M142" s="78"/>
    </row>
    <row r="143" spans="3:37" x14ac:dyDescent="0.2">
      <c r="C143" s="85" t="s">
        <v>60</v>
      </c>
      <c r="D143" s="88">
        <f>-U137</f>
        <v>-8</v>
      </c>
      <c r="E143" s="77"/>
      <c r="F143" s="77"/>
      <c r="G143" s="77"/>
      <c r="H143" s="78"/>
      <c r="J143" s="83" t="s">
        <v>47</v>
      </c>
      <c r="K143" s="77"/>
      <c r="L143" s="77"/>
      <c r="M143" s="78"/>
    </row>
    <row r="144" spans="3:37" x14ac:dyDescent="0.2">
      <c r="C144" s="86" t="s">
        <v>59</v>
      </c>
      <c r="D144" s="89">
        <f>U137</f>
        <v>8</v>
      </c>
      <c r="E144" s="79"/>
      <c r="F144" s="79"/>
      <c r="G144" s="79"/>
      <c r="H144" s="80"/>
      <c r="J144" s="84" t="s">
        <v>41</v>
      </c>
      <c r="K144" s="79"/>
      <c r="L144" s="79"/>
      <c r="M144" s="80"/>
    </row>
    <row r="145" spans="3:8" x14ac:dyDescent="0.2">
      <c r="C145" s="37"/>
      <c r="D145" s="38"/>
    </row>
    <row r="146" spans="3:8" x14ac:dyDescent="0.2">
      <c r="C146" s="136" t="s">
        <v>118</v>
      </c>
      <c r="D146" s="137"/>
      <c r="E146" s="137"/>
      <c r="F146" s="137"/>
      <c r="G146" s="137"/>
      <c r="H146" s="137"/>
    </row>
    <row r="147" spans="3:8" x14ac:dyDescent="0.2">
      <c r="C147" s="136" t="s">
        <v>119</v>
      </c>
      <c r="D147" s="138" t="s">
        <v>120</v>
      </c>
      <c r="E147" s="137"/>
      <c r="F147" s="137"/>
      <c r="G147" s="137"/>
      <c r="H147" s="137"/>
    </row>
    <row r="148" spans="3:8" x14ac:dyDescent="0.2">
      <c r="C148" s="136" t="s">
        <v>121</v>
      </c>
      <c r="D148" s="138">
        <v>3.5</v>
      </c>
      <c r="E148" s="137"/>
      <c r="F148" s="137"/>
      <c r="G148" s="137"/>
      <c r="H148" s="137"/>
    </row>
    <row r="149" spans="3:8" x14ac:dyDescent="0.2">
      <c r="C149" s="136" t="s">
        <v>122</v>
      </c>
      <c r="D149" s="138">
        <v>4.5</v>
      </c>
      <c r="E149" s="137"/>
      <c r="F149" s="137"/>
      <c r="G149" s="137"/>
      <c r="H149" s="137"/>
    </row>
  </sheetData>
  <sheetProtection algorithmName="SHA-512" hashValue="N2gaBDn7b04BBpsPCtUB/d6ynKFFtJ7vHbrfZy4YkCqWusaDBKz3NmGJuMb2+MOnyIYOkx0dhj5Eu6M7Md7iRA==" saltValue="fgzrRiH9rReKmVnpd8zq4w==" spinCount="100000" sheet="1" objects="1" scenarios="1"/>
  <protectedRanges>
    <protectedRange sqref="AM114:AN117 AL14:AN113" name="進捗状況、問題点と対策"/>
    <protectedRange sqref="D1 F1 AA1:AF1 W3:Y3 AA3:AF3 AI3 B8:AF8" name="ヘッダ部"/>
    <protectedRange sqref="A22:AF117 B16:AF21" name="工数入力部"/>
    <protectedRange sqref="C131" name="備考欄"/>
    <protectedRange sqref="U137" name="日工数"/>
    <protectedRange sqref="AJ14:AJ113" name="交通費等"/>
  </protectedRanges>
  <dataConsolidate/>
  <mergeCells count="1084">
    <mergeCell ref="AI2:AJ2"/>
    <mergeCell ref="AI3:AJ3"/>
    <mergeCell ref="R139:T139"/>
    <mergeCell ref="AF110:AF113"/>
    <mergeCell ref="V110:V113"/>
    <mergeCell ref="W110:W113"/>
    <mergeCell ref="X110:X113"/>
    <mergeCell ref="Y110:Y113"/>
    <mergeCell ref="Z110:Z113"/>
    <mergeCell ref="AA110:AA113"/>
    <mergeCell ref="AB110:AB113"/>
    <mergeCell ref="AC110:AC113"/>
    <mergeCell ref="AD110:AD113"/>
    <mergeCell ref="R137:T137"/>
    <mergeCell ref="AH106:AH109"/>
    <mergeCell ref="AF106:AF109"/>
    <mergeCell ref="AH98:AH101"/>
    <mergeCell ref="V102:V105"/>
    <mergeCell ref="W102:W105"/>
    <mergeCell ref="X102:X105"/>
    <mergeCell ref="AH102:AH105"/>
    <mergeCell ref="AC102:AC105"/>
    <mergeCell ref="Z102:Z105"/>
    <mergeCell ref="AF98:AF101"/>
    <mergeCell ref="AH110:AH113"/>
    <mergeCell ref="AI110:AI113"/>
    <mergeCell ref="AJ110:AJ111"/>
    <mergeCell ref="AJ112:AJ113"/>
    <mergeCell ref="R102:R105"/>
    <mergeCell ref="S22:S25"/>
    <mergeCell ref="AH90:AH93"/>
    <mergeCell ref="W90:W93"/>
    <mergeCell ref="L110:L113"/>
    <mergeCell ref="M110:M113"/>
    <mergeCell ref="N110:N113"/>
    <mergeCell ref="O110:O113"/>
    <mergeCell ref="P110:P113"/>
    <mergeCell ref="Q110:Q113"/>
    <mergeCell ref="R110:R113"/>
    <mergeCell ref="S110:S113"/>
    <mergeCell ref="AE110:AE113"/>
    <mergeCell ref="A15:A17"/>
    <mergeCell ref="D125:E125"/>
    <mergeCell ref="F125:I125"/>
    <mergeCell ref="J125:M125"/>
    <mergeCell ref="N125:Q125"/>
    <mergeCell ref="R125:U125"/>
    <mergeCell ref="V125:Y125"/>
    <mergeCell ref="Z125:AC125"/>
    <mergeCell ref="B14:B15"/>
    <mergeCell ref="F14:F15"/>
    <mergeCell ref="C14:C15"/>
    <mergeCell ref="D14:D15"/>
    <mergeCell ref="E14:E15"/>
    <mergeCell ref="W106:W109"/>
    <mergeCell ref="S106:S109"/>
    <mergeCell ref="T106:T109"/>
    <mergeCell ref="Q102:Q105"/>
    <mergeCell ref="A111:A113"/>
    <mergeCell ref="B110:B113"/>
    <mergeCell ref="C110:C113"/>
    <mergeCell ref="D110:D113"/>
    <mergeCell ref="E110:E113"/>
    <mergeCell ref="S26:S29"/>
    <mergeCell ref="S30:S33"/>
    <mergeCell ref="V1:Z1"/>
    <mergeCell ref="U14:U15"/>
    <mergeCell ref="V14:V15"/>
    <mergeCell ref="W14:W15"/>
    <mergeCell ref="X14:X15"/>
    <mergeCell ref="Y14:Y15"/>
    <mergeCell ref="N14:N15"/>
    <mergeCell ref="O14:O15"/>
    <mergeCell ref="M14:M15"/>
    <mergeCell ref="N94:N97"/>
    <mergeCell ref="T22:T25"/>
    <mergeCell ref="T26:T29"/>
    <mergeCell ref="T30:T33"/>
    <mergeCell ref="T34:T37"/>
    <mergeCell ref="T38:T41"/>
    <mergeCell ref="S34:S37"/>
    <mergeCell ref="S38:S41"/>
    <mergeCell ref="S14:S15"/>
    <mergeCell ref="S18:S21"/>
    <mergeCell ref="V82:V85"/>
    <mergeCell ref="W82:W85"/>
    <mergeCell ref="T82:T85"/>
    <mergeCell ref="V86:V89"/>
    <mergeCell ref="R86:R89"/>
    <mergeCell ref="S86:S89"/>
    <mergeCell ref="T86:T89"/>
    <mergeCell ref="W42:W45"/>
    <mergeCell ref="X42:X45"/>
    <mergeCell ref="V42:V45"/>
    <mergeCell ref="Y42:Y45"/>
    <mergeCell ref="Y46:Y49"/>
    <mergeCell ref="F110:F113"/>
    <mergeCell ref="G110:G113"/>
    <mergeCell ref="H110:H113"/>
    <mergeCell ref="I110:I113"/>
    <mergeCell ref="J110:J113"/>
    <mergeCell ref="K110:K113"/>
    <mergeCell ref="O106:O109"/>
    <mergeCell ref="V106:V109"/>
    <mergeCell ref="AC106:AC109"/>
    <mergeCell ref="X106:X109"/>
    <mergeCell ref="Y106:Y109"/>
    <mergeCell ref="AD106:AD109"/>
    <mergeCell ref="P14:P15"/>
    <mergeCell ref="Q14:Q15"/>
    <mergeCell ref="R14:R15"/>
    <mergeCell ref="T14:T15"/>
    <mergeCell ref="U102:U105"/>
    <mergeCell ref="O94:O97"/>
    <mergeCell ref="P94:P97"/>
    <mergeCell ref="Q94:Q97"/>
    <mergeCell ref="T94:T97"/>
    <mergeCell ref="U94:U97"/>
    <mergeCell ref="G14:G15"/>
    <mergeCell ref="H14:H15"/>
    <mergeCell ref="I14:I15"/>
    <mergeCell ref="J14:J15"/>
    <mergeCell ref="K14:K15"/>
    <mergeCell ref="L14:L15"/>
    <mergeCell ref="AA94:AA97"/>
    <mergeCell ref="AB94:AB97"/>
    <mergeCell ref="AC94:AC97"/>
    <mergeCell ref="AD94:AD97"/>
    <mergeCell ref="B106:B109"/>
    <mergeCell ref="C106:C109"/>
    <mergeCell ref="D106:D109"/>
    <mergeCell ref="E106:E109"/>
    <mergeCell ref="F106:F109"/>
    <mergeCell ref="G106:G109"/>
    <mergeCell ref="H106:H109"/>
    <mergeCell ref="Q106:Q109"/>
    <mergeCell ref="R106:R109"/>
    <mergeCell ref="P106:P109"/>
    <mergeCell ref="I106:I109"/>
    <mergeCell ref="J106:J109"/>
    <mergeCell ref="K106:K109"/>
    <mergeCell ref="L106:L109"/>
    <mergeCell ref="M106:M109"/>
    <mergeCell ref="N106:N109"/>
    <mergeCell ref="AA1:AF1"/>
    <mergeCell ref="Z14:Z15"/>
    <mergeCell ref="AA14:AA15"/>
    <mergeCell ref="AB14:AB15"/>
    <mergeCell ref="AC14:AC15"/>
    <mergeCell ref="AD14:AD15"/>
    <mergeCell ref="W2:Y2"/>
    <mergeCell ref="W3:Y3"/>
    <mergeCell ref="AA3:AF3"/>
    <mergeCell ref="AA2:AF2"/>
    <mergeCell ref="AE14:AE15"/>
    <mergeCell ref="AF14:AF15"/>
    <mergeCell ref="AA106:AA109"/>
    <mergeCell ref="AE106:AE109"/>
    <mergeCell ref="U106:U109"/>
    <mergeCell ref="AB106:AB109"/>
    <mergeCell ref="AF102:AF105"/>
    <mergeCell ref="AA102:AA105"/>
    <mergeCell ref="AE102:AE105"/>
    <mergeCell ref="Z98:Z101"/>
    <mergeCell ref="AA98:AA101"/>
    <mergeCell ref="X98:X101"/>
    <mergeCell ref="Y98:Y101"/>
    <mergeCell ref="O98:O101"/>
    <mergeCell ref="P98:P101"/>
    <mergeCell ref="Q98:Q101"/>
    <mergeCell ref="AD102:AD105"/>
    <mergeCell ref="O102:O105"/>
    <mergeCell ref="U98:U101"/>
    <mergeCell ref="T98:T101"/>
    <mergeCell ref="P102:P105"/>
    <mergeCell ref="B102:B105"/>
    <mergeCell ref="C102:C105"/>
    <mergeCell ref="D102:D105"/>
    <mergeCell ref="E102:E105"/>
    <mergeCell ref="F102:F105"/>
    <mergeCell ref="G102:G105"/>
    <mergeCell ref="H102:H105"/>
    <mergeCell ref="S102:S105"/>
    <mergeCell ref="T102:T105"/>
    <mergeCell ref="I102:I105"/>
    <mergeCell ref="J102:J105"/>
    <mergeCell ref="K102:K105"/>
    <mergeCell ref="L102:L105"/>
    <mergeCell ref="AC98:AC101"/>
    <mergeCell ref="AD98:AD101"/>
    <mergeCell ref="AE98:AE101"/>
    <mergeCell ref="AE94:AE97"/>
    <mergeCell ref="AE86:AE89"/>
    <mergeCell ref="B98:B101"/>
    <mergeCell ref="C98:C101"/>
    <mergeCell ref="D98:D101"/>
    <mergeCell ref="E98:E101"/>
    <mergeCell ref="F98:F101"/>
    <mergeCell ref="G98:G101"/>
    <mergeCell ref="H98:H101"/>
    <mergeCell ref="I98:I101"/>
    <mergeCell ref="J98:J101"/>
    <mergeCell ref="K98:K101"/>
    <mergeCell ref="L98:L101"/>
    <mergeCell ref="M98:M101"/>
    <mergeCell ref="N98:N101"/>
    <mergeCell ref="V94:V97"/>
    <mergeCell ref="V98:V101"/>
    <mergeCell ref="W98:W101"/>
    <mergeCell ref="C86:C89"/>
    <mergeCell ref="D86:D89"/>
    <mergeCell ref="E86:E89"/>
    <mergeCell ref="F86:F89"/>
    <mergeCell ref="G86:G89"/>
    <mergeCell ref="H86:H89"/>
    <mergeCell ref="I86:I89"/>
    <mergeCell ref="U86:U89"/>
    <mergeCell ref="J86:J89"/>
    <mergeCell ref="K86:K89"/>
    <mergeCell ref="L86:L89"/>
    <mergeCell ref="M86:M89"/>
    <mergeCell ref="N86:N89"/>
    <mergeCell ref="O86:O89"/>
    <mergeCell ref="AF94:AF97"/>
    <mergeCell ref="AH94:AH97"/>
    <mergeCell ref="B90:B93"/>
    <mergeCell ref="C90:C93"/>
    <mergeCell ref="D90:D93"/>
    <mergeCell ref="E90:E93"/>
    <mergeCell ref="F90:F93"/>
    <mergeCell ref="G90:G93"/>
    <mergeCell ref="H90:H93"/>
    <mergeCell ref="I90:I93"/>
    <mergeCell ref="J90:J93"/>
    <mergeCell ref="K90:K93"/>
    <mergeCell ref="L90:L93"/>
    <mergeCell ref="M90:M93"/>
    <mergeCell ref="N90:N93"/>
    <mergeCell ref="O90:O93"/>
    <mergeCell ref="Q90:Q93"/>
    <mergeCell ref="R90:R93"/>
    <mergeCell ref="AF90:AF93"/>
    <mergeCell ref="AE90:AE93"/>
    <mergeCell ref="X90:X93"/>
    <mergeCell ref="Y90:Y93"/>
    <mergeCell ref="Z90:Z93"/>
    <mergeCell ref="AA90:AA93"/>
    <mergeCell ref="AB90:AB93"/>
    <mergeCell ref="AC90:AC93"/>
    <mergeCell ref="AD90:AD93"/>
    <mergeCell ref="W94:W97"/>
    <mergeCell ref="Y94:Y97"/>
    <mergeCell ref="T90:T93"/>
    <mergeCell ref="U90:U93"/>
    <mergeCell ref="V90:V93"/>
    <mergeCell ref="F62:F65"/>
    <mergeCell ref="G62:G65"/>
    <mergeCell ref="H62:H65"/>
    <mergeCell ref="I62:I65"/>
    <mergeCell ref="J62:J65"/>
    <mergeCell ref="S58:S61"/>
    <mergeCell ref="K62:K65"/>
    <mergeCell ref="L62:L65"/>
    <mergeCell ref="M62:M65"/>
    <mergeCell ref="N62:N65"/>
    <mergeCell ref="O62:O65"/>
    <mergeCell ref="P62:P65"/>
    <mergeCell ref="AC62:AC65"/>
    <mergeCell ref="AD62:AD65"/>
    <mergeCell ref="AE62:AE65"/>
    <mergeCell ref="AF62:AF65"/>
    <mergeCell ref="AA58:AA61"/>
    <mergeCell ref="AB58:AB61"/>
    <mergeCell ref="AF58:AF61"/>
    <mergeCell ref="AA62:AA65"/>
    <mergeCell ref="V62:V65"/>
    <mergeCell ref="W62:W65"/>
    <mergeCell ref="X62:X65"/>
    <mergeCell ref="Y62:Y65"/>
    <mergeCell ref="G54:G57"/>
    <mergeCell ref="K54:K57"/>
    <mergeCell ref="AH54:AH57"/>
    <mergeCell ref="B58:B61"/>
    <mergeCell ref="C58:C61"/>
    <mergeCell ref="D58:D61"/>
    <mergeCell ref="E58:E61"/>
    <mergeCell ref="F58:F61"/>
    <mergeCell ref="G58:G61"/>
    <mergeCell ref="H58:H61"/>
    <mergeCell ref="K58:K61"/>
    <mergeCell ref="L58:L61"/>
    <mergeCell ref="M58:M61"/>
    <mergeCell ref="O58:O61"/>
    <mergeCell ref="P58:P61"/>
    <mergeCell ref="Q58:Q61"/>
    <mergeCell ref="T58:T61"/>
    <mergeCell ref="U58:U61"/>
    <mergeCell ref="V58:V61"/>
    <mergeCell ref="W58:W61"/>
    <mergeCell ref="AC54:AC57"/>
    <mergeCell ref="AC58:AC61"/>
    <mergeCell ref="T54:T57"/>
    <mergeCell ref="U54:U57"/>
    <mergeCell ref="W54:W57"/>
    <mergeCell ref="X54:X57"/>
    <mergeCell ref="AH58:AH61"/>
    <mergeCell ref="AE54:AE57"/>
    <mergeCell ref="Y54:Y57"/>
    <mergeCell ref="G50:G53"/>
    <mergeCell ref="I50:I53"/>
    <mergeCell ref="J50:J53"/>
    <mergeCell ref="K50:K53"/>
    <mergeCell ref="L50:L53"/>
    <mergeCell ref="N50:N53"/>
    <mergeCell ref="P50:P53"/>
    <mergeCell ref="Q50:Q53"/>
    <mergeCell ref="R50:R53"/>
    <mergeCell ref="S50:S53"/>
    <mergeCell ref="T50:T53"/>
    <mergeCell ref="Z50:Z53"/>
    <mergeCell ref="AA50:AA53"/>
    <mergeCell ref="AB50:AB53"/>
    <mergeCell ref="AF50:AF53"/>
    <mergeCell ref="AH50:AH53"/>
    <mergeCell ref="AE50:AE53"/>
    <mergeCell ref="H50:H53"/>
    <mergeCell ref="V50:V53"/>
    <mergeCell ref="W50:W53"/>
    <mergeCell ref="X50:X53"/>
    <mergeCell ref="Y50:Y53"/>
    <mergeCell ref="I66:I69"/>
    <mergeCell ref="I114:I117"/>
    <mergeCell ref="J114:J117"/>
    <mergeCell ref="H74:H77"/>
    <mergeCell ref="I74:I77"/>
    <mergeCell ref="J74:J77"/>
    <mergeCell ref="H82:H85"/>
    <mergeCell ref="I82:I85"/>
    <mergeCell ref="J82:J85"/>
    <mergeCell ref="I58:I61"/>
    <mergeCell ref="J58:J61"/>
    <mergeCell ref="J70:J73"/>
    <mergeCell ref="J54:J57"/>
    <mergeCell ref="H94:H97"/>
    <mergeCell ref="I94:I97"/>
    <mergeCell ref="J94:J97"/>
    <mergeCell ref="H70:H73"/>
    <mergeCell ref="H66:H69"/>
    <mergeCell ref="AF46:AF49"/>
    <mergeCell ref="AF54:AF57"/>
    <mergeCell ref="AD58:AD61"/>
    <mergeCell ref="AE58:AE61"/>
    <mergeCell ref="AD70:AD73"/>
    <mergeCell ref="AE70:AE73"/>
    <mergeCell ref="AF70:AF73"/>
    <mergeCell ref="AE78:AE81"/>
    <mergeCell ref="AF78:AF81"/>
    <mergeCell ref="AD66:AD69"/>
    <mergeCell ref="AF42:AF45"/>
    <mergeCell ref="AD54:AD57"/>
    <mergeCell ref="AH38:AH41"/>
    <mergeCell ref="AH66:AH69"/>
    <mergeCell ref="AH114:AH117"/>
    <mergeCell ref="AE114:AE117"/>
    <mergeCell ref="AF38:AF41"/>
    <mergeCell ref="AH42:AH45"/>
    <mergeCell ref="AF66:AF69"/>
    <mergeCell ref="AH46:AH49"/>
    <mergeCell ref="AH70:AH73"/>
    <mergeCell ref="AH62:AH65"/>
    <mergeCell ref="AH78:AH81"/>
    <mergeCell ref="AE74:AE77"/>
    <mergeCell ref="AF74:AF77"/>
    <mergeCell ref="AH74:AH77"/>
    <mergeCell ref="AD78:AD81"/>
    <mergeCell ref="AD74:AD77"/>
    <mergeCell ref="AH82:AH85"/>
    <mergeCell ref="AD86:AD89"/>
    <mergeCell ref="AF86:AF89"/>
    <mergeCell ref="AH86:AH89"/>
    <mergeCell ref="AC18:AC21"/>
    <mergeCell ref="AC22:AC25"/>
    <mergeCell ref="AC26:AC29"/>
    <mergeCell ref="AC30:AC33"/>
    <mergeCell ref="AC34:AC37"/>
    <mergeCell ref="AC38:AC41"/>
    <mergeCell ref="AC42:AC45"/>
    <mergeCell ref="AD42:AD45"/>
    <mergeCell ref="AD38:AD41"/>
    <mergeCell ref="AE18:AE21"/>
    <mergeCell ref="AE22:AE25"/>
    <mergeCell ref="AE26:AE29"/>
    <mergeCell ref="AE30:AE33"/>
    <mergeCell ref="AE34:AE37"/>
    <mergeCell ref="AE38:AE41"/>
    <mergeCell ref="AE46:AE49"/>
    <mergeCell ref="AE82:AE85"/>
    <mergeCell ref="AD82:AD85"/>
    <mergeCell ref="AD34:AD37"/>
    <mergeCell ref="AD18:AD21"/>
    <mergeCell ref="AC66:AC69"/>
    <mergeCell ref="AC70:AC73"/>
    <mergeCell ref="AC78:AC81"/>
    <mergeCell ref="AC74:AC77"/>
    <mergeCell ref="AC86:AC89"/>
    <mergeCell ref="AC82:AC85"/>
    <mergeCell ref="AA34:AA37"/>
    <mergeCell ref="AA22:AA25"/>
    <mergeCell ref="AA26:AA29"/>
    <mergeCell ref="AA30:AA33"/>
    <mergeCell ref="AB102:AB105"/>
    <mergeCell ref="AA38:AA41"/>
    <mergeCell ref="AH14:AH17"/>
    <mergeCell ref="AF18:AF21"/>
    <mergeCell ref="AB18:AB21"/>
    <mergeCell ref="AB22:AB25"/>
    <mergeCell ref="AB26:AB29"/>
    <mergeCell ref="AB30:AB33"/>
    <mergeCell ref="AB34:AB37"/>
    <mergeCell ref="AB38:AB41"/>
    <mergeCell ref="AA18:AA21"/>
    <mergeCell ref="AD22:AD25"/>
    <mergeCell ref="AD26:AD29"/>
    <mergeCell ref="AD30:AD33"/>
    <mergeCell ref="AE42:AE45"/>
    <mergeCell ref="AC46:AC49"/>
    <mergeCell ref="AD46:AD49"/>
    <mergeCell ref="AC50:AC53"/>
    <mergeCell ref="AE66:AE69"/>
    <mergeCell ref="AH18:AH21"/>
    <mergeCell ref="AH22:AH25"/>
    <mergeCell ref="AH26:AH29"/>
    <mergeCell ref="AH30:AH33"/>
    <mergeCell ref="AH34:AH37"/>
    <mergeCell ref="AF22:AF25"/>
    <mergeCell ref="AF26:AF29"/>
    <mergeCell ref="AF30:AF33"/>
    <mergeCell ref="AF34:AF37"/>
    <mergeCell ref="AA66:AA69"/>
    <mergeCell ref="Z42:Z45"/>
    <mergeCell ref="AA42:AA45"/>
    <mergeCell ref="AB42:AB45"/>
    <mergeCell ref="Z58:Z61"/>
    <mergeCell ref="AD50:AD53"/>
    <mergeCell ref="Z46:Z49"/>
    <mergeCell ref="AA54:AA57"/>
    <mergeCell ref="AB54:AB57"/>
    <mergeCell ref="Z66:Z69"/>
    <mergeCell ref="Z62:Z65"/>
    <mergeCell ref="AB114:AB117"/>
    <mergeCell ref="AA46:AA49"/>
    <mergeCell ref="AB46:AB49"/>
    <mergeCell ref="AB62:AB65"/>
    <mergeCell ref="AA70:AA73"/>
    <mergeCell ref="AB70:AB73"/>
    <mergeCell ref="AB98:AB101"/>
    <mergeCell ref="Z54:Z57"/>
    <mergeCell ref="AB66:AB69"/>
    <mergeCell ref="Z74:Z77"/>
    <mergeCell ref="AA74:AA77"/>
    <mergeCell ref="AB74:AB77"/>
    <mergeCell ref="Z78:Z81"/>
    <mergeCell ref="AA78:AA81"/>
    <mergeCell ref="AB78:AB81"/>
    <mergeCell ref="Z86:Z89"/>
    <mergeCell ref="AA86:AA89"/>
    <mergeCell ref="AB86:AB89"/>
    <mergeCell ref="Z82:Z85"/>
    <mergeCell ref="AA82:AA85"/>
    <mergeCell ref="AB82:AB85"/>
    <mergeCell ref="V66:V69"/>
    <mergeCell ref="V114:V117"/>
    <mergeCell ref="X66:X69"/>
    <mergeCell ref="Y114:Y117"/>
    <mergeCell ref="W86:W89"/>
    <mergeCell ref="X86:X89"/>
    <mergeCell ref="Y86:Y89"/>
    <mergeCell ref="X94:X97"/>
    <mergeCell ref="X58:X61"/>
    <mergeCell ref="Y58:Y61"/>
    <mergeCell ref="Z70:Z73"/>
    <mergeCell ref="V78:V81"/>
    <mergeCell ref="V74:V77"/>
    <mergeCell ref="W74:W77"/>
    <mergeCell ref="X74:X77"/>
    <mergeCell ref="Y74:Y77"/>
    <mergeCell ref="V70:V73"/>
    <mergeCell ref="W70:W73"/>
    <mergeCell ref="X70:X73"/>
    <mergeCell ref="Y70:Y73"/>
    <mergeCell ref="V18:V21"/>
    <mergeCell ref="V22:V25"/>
    <mergeCell ref="V26:V29"/>
    <mergeCell ref="V30:V33"/>
    <mergeCell ref="V34:V37"/>
    <mergeCell ref="U18:U21"/>
    <mergeCell ref="V46:V49"/>
    <mergeCell ref="V54:V57"/>
    <mergeCell ref="U50:U53"/>
    <mergeCell ref="U42:U45"/>
    <mergeCell ref="U46:U49"/>
    <mergeCell ref="U22:U25"/>
    <mergeCell ref="U26:U29"/>
    <mergeCell ref="U30:U33"/>
    <mergeCell ref="U34:U37"/>
    <mergeCell ref="U38:U41"/>
    <mergeCell ref="W22:W25"/>
    <mergeCell ref="W26:W29"/>
    <mergeCell ref="W30:W33"/>
    <mergeCell ref="W34:W37"/>
    <mergeCell ref="W38:W41"/>
    <mergeCell ref="V38:V41"/>
    <mergeCell ref="S42:S45"/>
    <mergeCell ref="S62:S65"/>
    <mergeCell ref="S70:S73"/>
    <mergeCell ref="S74:S77"/>
    <mergeCell ref="S82:S85"/>
    <mergeCell ref="S46:S49"/>
    <mergeCell ref="S54:S57"/>
    <mergeCell ref="S90:S93"/>
    <mergeCell ref="S98:S101"/>
    <mergeCell ref="S94:S97"/>
    <mergeCell ref="U114:U117"/>
    <mergeCell ref="T42:T45"/>
    <mergeCell ref="T62:T65"/>
    <mergeCell ref="U62:U65"/>
    <mergeCell ref="T70:T73"/>
    <mergeCell ref="U70:U73"/>
    <mergeCell ref="T74:T77"/>
    <mergeCell ref="U74:U77"/>
    <mergeCell ref="T66:T69"/>
    <mergeCell ref="U82:U85"/>
    <mergeCell ref="T46:T49"/>
    <mergeCell ref="U78:U81"/>
    <mergeCell ref="T110:T113"/>
    <mergeCell ref="U110:U113"/>
    <mergeCell ref="S66:S69"/>
    <mergeCell ref="U66:U69"/>
    <mergeCell ref="S78:S81"/>
    <mergeCell ref="T78:T81"/>
    <mergeCell ref="N74:N77"/>
    <mergeCell ref="O74:O77"/>
    <mergeCell ref="R34:R37"/>
    <mergeCell ref="R38:R41"/>
    <mergeCell ref="Q34:Q37"/>
    <mergeCell ref="R66:R69"/>
    <mergeCell ref="R46:R49"/>
    <mergeCell ref="R58:R61"/>
    <mergeCell ref="Q62:Q65"/>
    <mergeCell ref="R62:R65"/>
    <mergeCell ref="R114:R117"/>
    <mergeCell ref="R70:R73"/>
    <mergeCell ref="Q74:Q77"/>
    <mergeCell ref="R74:R77"/>
    <mergeCell ref="Q82:Q85"/>
    <mergeCell ref="R82:R85"/>
    <mergeCell ref="Q46:Q49"/>
    <mergeCell ref="R98:R101"/>
    <mergeCell ref="R94:R97"/>
    <mergeCell ref="N42:N45"/>
    <mergeCell ref="P42:P45"/>
    <mergeCell ref="Q42:Q45"/>
    <mergeCell ref="R42:R45"/>
    <mergeCell ref="N54:N57"/>
    <mergeCell ref="P54:P57"/>
    <mergeCell ref="Q54:Q57"/>
    <mergeCell ref="R54:R57"/>
    <mergeCell ref="N70:N73"/>
    <mergeCell ref="O70:O73"/>
    <mergeCell ref="P70:P73"/>
    <mergeCell ref="Q70:Q73"/>
    <mergeCell ref="O66:O69"/>
    <mergeCell ref="N34:N37"/>
    <mergeCell ref="N38:N41"/>
    <mergeCell ref="O42:O45"/>
    <mergeCell ref="O50:O53"/>
    <mergeCell ref="N66:N69"/>
    <mergeCell ref="M38:M41"/>
    <mergeCell ref="M66:M69"/>
    <mergeCell ref="M50:M53"/>
    <mergeCell ref="M34:M37"/>
    <mergeCell ref="M46:M49"/>
    <mergeCell ref="P34:P37"/>
    <mergeCell ref="P38:P41"/>
    <mergeCell ref="P66:P69"/>
    <mergeCell ref="N46:N49"/>
    <mergeCell ref="O46:O49"/>
    <mergeCell ref="P114:P117"/>
    <mergeCell ref="Q38:Q41"/>
    <mergeCell ref="Q66:Q69"/>
    <mergeCell ref="Q114:Q117"/>
    <mergeCell ref="P74:P77"/>
    <mergeCell ref="P82:P85"/>
    <mergeCell ref="P86:P89"/>
    <mergeCell ref="Q86:Q89"/>
    <mergeCell ref="P90:P93"/>
    <mergeCell ref="P46:P49"/>
    <mergeCell ref="N102:N105"/>
    <mergeCell ref="N114:N117"/>
    <mergeCell ref="O34:O37"/>
    <mergeCell ref="O38:O41"/>
    <mergeCell ref="O114:O117"/>
    <mergeCell ref="O54:O57"/>
    <mergeCell ref="N58:N61"/>
    <mergeCell ref="M70:M73"/>
    <mergeCell ref="L78:L81"/>
    <mergeCell ref="M78:M81"/>
    <mergeCell ref="M114:M117"/>
    <mergeCell ref="K70:K73"/>
    <mergeCell ref="L70:L73"/>
    <mergeCell ref="M94:M97"/>
    <mergeCell ref="M102:M105"/>
    <mergeCell ref="M74:M77"/>
    <mergeCell ref="L34:L37"/>
    <mergeCell ref="L38:L41"/>
    <mergeCell ref="L66:L69"/>
    <mergeCell ref="K38:K41"/>
    <mergeCell ref="L22:L25"/>
    <mergeCell ref="I18:I21"/>
    <mergeCell ref="I46:I49"/>
    <mergeCell ref="I22:I25"/>
    <mergeCell ref="I26:I29"/>
    <mergeCell ref="K22:K25"/>
    <mergeCell ref="K26:K29"/>
    <mergeCell ref="K30:K33"/>
    <mergeCell ref="K34:K37"/>
    <mergeCell ref="I54:I57"/>
    <mergeCell ref="J46:J49"/>
    <mergeCell ref="L46:L49"/>
    <mergeCell ref="K46:K49"/>
    <mergeCell ref="J42:J45"/>
    <mergeCell ref="K42:K45"/>
    <mergeCell ref="L42:L45"/>
    <mergeCell ref="M42:M45"/>
    <mergeCell ref="L54:L57"/>
    <mergeCell ref="M54:M57"/>
    <mergeCell ref="G70:G73"/>
    <mergeCell ref="E18:E21"/>
    <mergeCell ref="E22:E25"/>
    <mergeCell ref="E26:E29"/>
    <mergeCell ref="I70:I73"/>
    <mergeCell ref="L114:L117"/>
    <mergeCell ref="J18:J21"/>
    <mergeCell ref="J22:J25"/>
    <mergeCell ref="J26:J29"/>
    <mergeCell ref="J30:J33"/>
    <mergeCell ref="J34:J37"/>
    <mergeCell ref="J38:J41"/>
    <mergeCell ref="J66:J69"/>
    <mergeCell ref="L82:L85"/>
    <mergeCell ref="L18:L21"/>
    <mergeCell ref="K18:K21"/>
    <mergeCell ref="K66:K69"/>
    <mergeCell ref="K78:K81"/>
    <mergeCell ref="K94:K97"/>
    <mergeCell ref="L94:L97"/>
    <mergeCell ref="I78:I81"/>
    <mergeCell ref="J78:J81"/>
    <mergeCell ref="L74:L77"/>
    <mergeCell ref="L26:L29"/>
    <mergeCell ref="L30:L33"/>
    <mergeCell ref="K74:K77"/>
    <mergeCell ref="K82:K85"/>
    <mergeCell ref="E42:E45"/>
    <mergeCell ref="F42:F45"/>
    <mergeCell ref="G42:G45"/>
    <mergeCell ref="H42:H45"/>
    <mergeCell ref="H114:H117"/>
    <mergeCell ref="I30:I33"/>
    <mergeCell ref="I34:I37"/>
    <mergeCell ref="I38:I41"/>
    <mergeCell ref="I42:I45"/>
    <mergeCell ref="F18:F21"/>
    <mergeCell ref="G18:G21"/>
    <mergeCell ref="G22:G25"/>
    <mergeCell ref="H34:H37"/>
    <mergeCell ref="H38:H41"/>
    <mergeCell ref="H22:H25"/>
    <mergeCell ref="H26:H29"/>
    <mergeCell ref="H30:H33"/>
    <mergeCell ref="H18:H21"/>
    <mergeCell ref="F22:F25"/>
    <mergeCell ref="D78:D81"/>
    <mergeCell ref="E78:E81"/>
    <mergeCell ref="F78:F81"/>
    <mergeCell ref="G78:G81"/>
    <mergeCell ref="G66:G69"/>
    <mergeCell ref="H78:H81"/>
    <mergeCell ref="F46:F49"/>
    <mergeCell ref="G46:G49"/>
    <mergeCell ref="H46:H49"/>
    <mergeCell ref="H54:H57"/>
    <mergeCell ref="E66:E69"/>
    <mergeCell ref="D54:D57"/>
    <mergeCell ref="E54:E57"/>
    <mergeCell ref="F54:F57"/>
    <mergeCell ref="F66:F69"/>
    <mergeCell ref="D66:D69"/>
    <mergeCell ref="D70:D73"/>
    <mergeCell ref="E70:E73"/>
    <mergeCell ref="B42:B45"/>
    <mergeCell ref="B50:B53"/>
    <mergeCell ref="B62:B65"/>
    <mergeCell ref="B78:B81"/>
    <mergeCell ref="C30:C33"/>
    <mergeCell ref="C34:C37"/>
    <mergeCell ref="C38:C41"/>
    <mergeCell ref="B30:B33"/>
    <mergeCell ref="B34:B37"/>
    <mergeCell ref="B38:B41"/>
    <mergeCell ref="B54:B57"/>
    <mergeCell ref="C54:C57"/>
    <mergeCell ref="C78:C81"/>
    <mergeCell ref="B66:B69"/>
    <mergeCell ref="B46:B49"/>
    <mergeCell ref="F26:F29"/>
    <mergeCell ref="F30:F33"/>
    <mergeCell ref="F34:F37"/>
    <mergeCell ref="F38:F41"/>
    <mergeCell ref="F70:F73"/>
    <mergeCell ref="C42:C45"/>
    <mergeCell ref="D42:D45"/>
    <mergeCell ref="C46:C49"/>
    <mergeCell ref="C50:C53"/>
    <mergeCell ref="D50:D53"/>
    <mergeCell ref="E50:E53"/>
    <mergeCell ref="F50:F53"/>
    <mergeCell ref="D46:D49"/>
    <mergeCell ref="E46:E49"/>
    <mergeCell ref="C62:C65"/>
    <mergeCell ref="D62:D65"/>
    <mergeCell ref="E62:E65"/>
    <mergeCell ref="D74:D77"/>
    <mergeCell ref="D94:D97"/>
    <mergeCell ref="E94:E97"/>
    <mergeCell ref="F94:F97"/>
    <mergeCell ref="G94:G97"/>
    <mergeCell ref="E74:E77"/>
    <mergeCell ref="D82:D85"/>
    <mergeCell ref="E82:E85"/>
    <mergeCell ref="E30:E33"/>
    <mergeCell ref="E34:E37"/>
    <mergeCell ref="G26:G29"/>
    <mergeCell ref="G30:G33"/>
    <mergeCell ref="G34:G37"/>
    <mergeCell ref="G38:G41"/>
    <mergeCell ref="E38:E41"/>
    <mergeCell ref="B114:B117"/>
    <mergeCell ref="C66:C69"/>
    <mergeCell ref="C114:C117"/>
    <mergeCell ref="B74:B77"/>
    <mergeCell ref="C74:C77"/>
    <mergeCell ref="B82:B85"/>
    <mergeCell ref="C82:C85"/>
    <mergeCell ref="B70:B73"/>
    <mergeCell ref="C70:C73"/>
    <mergeCell ref="B94:B97"/>
    <mergeCell ref="C94:C97"/>
    <mergeCell ref="G114:G117"/>
    <mergeCell ref="F74:F77"/>
    <mergeCell ref="G74:G77"/>
    <mergeCell ref="F82:F85"/>
    <mergeCell ref="G82:G85"/>
    <mergeCell ref="D114:D117"/>
    <mergeCell ref="Z18:Z21"/>
    <mergeCell ref="Z22:Z25"/>
    <mergeCell ref="Z26:Z29"/>
    <mergeCell ref="Z30:Z33"/>
    <mergeCell ref="Z34:Z37"/>
    <mergeCell ref="X114:X117"/>
    <mergeCell ref="W66:W69"/>
    <mergeCell ref="Y38:Y41"/>
    <mergeCell ref="Y66:Y69"/>
    <mergeCell ref="W114:W117"/>
    <mergeCell ref="X18:X21"/>
    <mergeCell ref="X22:X25"/>
    <mergeCell ref="X26:X29"/>
    <mergeCell ref="X30:X33"/>
    <mergeCell ref="W78:W81"/>
    <mergeCell ref="X78:X81"/>
    <mergeCell ref="Y78:Y81"/>
    <mergeCell ref="Y102:Y105"/>
    <mergeCell ref="Y18:Y21"/>
    <mergeCell ref="Y22:Y25"/>
    <mergeCell ref="Y26:Y29"/>
    <mergeCell ref="Y30:Y33"/>
    <mergeCell ref="Y34:Y37"/>
    <mergeCell ref="W18:W21"/>
    <mergeCell ref="Z114:Z117"/>
    <mergeCell ref="Z38:Z41"/>
    <mergeCell ref="X82:X85"/>
    <mergeCell ref="Y82:Y85"/>
    <mergeCell ref="Z106:Z109"/>
    <mergeCell ref="Z94:Z97"/>
    <mergeCell ref="W46:W49"/>
    <mergeCell ref="X46:X49"/>
    <mergeCell ref="M18:M21"/>
    <mergeCell ref="M22:M25"/>
    <mergeCell ref="M26:M29"/>
    <mergeCell ref="M30:M33"/>
    <mergeCell ref="R26:R29"/>
    <mergeCell ref="R30:R33"/>
    <mergeCell ref="Q18:Q21"/>
    <mergeCell ref="Q22:Q25"/>
    <mergeCell ref="Q26:Q29"/>
    <mergeCell ref="Q30:Q33"/>
    <mergeCell ref="P18:P21"/>
    <mergeCell ref="P22:P25"/>
    <mergeCell ref="P26:P29"/>
    <mergeCell ref="P30:P33"/>
    <mergeCell ref="O18:O21"/>
    <mergeCell ref="O22:O25"/>
    <mergeCell ref="O26:O29"/>
    <mergeCell ref="O30:O33"/>
    <mergeCell ref="N18:N21"/>
    <mergeCell ref="N22:N25"/>
    <mergeCell ref="N26:N29"/>
    <mergeCell ref="N30:N33"/>
    <mergeCell ref="A55:A57"/>
    <mergeCell ref="A59:A61"/>
    <mergeCell ref="A63:A65"/>
    <mergeCell ref="A67:A69"/>
    <mergeCell ref="A71:A73"/>
    <mergeCell ref="A75:A77"/>
    <mergeCell ref="A31:A33"/>
    <mergeCell ref="A35:A37"/>
    <mergeCell ref="A39:A41"/>
    <mergeCell ref="T18:T21"/>
    <mergeCell ref="A43:A45"/>
    <mergeCell ref="A47:A49"/>
    <mergeCell ref="A51:A53"/>
    <mergeCell ref="D38:D41"/>
    <mergeCell ref="X34:X37"/>
    <mergeCell ref="X38:X41"/>
    <mergeCell ref="A19:A21"/>
    <mergeCell ref="A23:A25"/>
    <mergeCell ref="A27:A29"/>
    <mergeCell ref="B18:B21"/>
    <mergeCell ref="B22:B25"/>
    <mergeCell ref="C22:C25"/>
    <mergeCell ref="C26:C29"/>
    <mergeCell ref="B26:B29"/>
    <mergeCell ref="D18:D21"/>
    <mergeCell ref="D22:D25"/>
    <mergeCell ref="D26:D29"/>
    <mergeCell ref="D30:D33"/>
    <mergeCell ref="D34:D37"/>
    <mergeCell ref="C18:C21"/>
    <mergeCell ref="R18:R21"/>
    <mergeCell ref="R22:R25"/>
    <mergeCell ref="C131:AH134"/>
    <mergeCell ref="A103:A105"/>
    <mergeCell ref="A107:A109"/>
    <mergeCell ref="A115:A117"/>
    <mergeCell ref="A79:A81"/>
    <mergeCell ref="A83:A85"/>
    <mergeCell ref="A87:A89"/>
    <mergeCell ref="A91:A93"/>
    <mergeCell ref="A95:A97"/>
    <mergeCell ref="A99:A101"/>
    <mergeCell ref="V124:Y124"/>
    <mergeCell ref="E114:E117"/>
    <mergeCell ref="K114:K117"/>
    <mergeCell ref="N82:N85"/>
    <mergeCell ref="O82:O85"/>
    <mergeCell ref="S114:S117"/>
    <mergeCell ref="T114:T117"/>
    <mergeCell ref="AA114:AA117"/>
    <mergeCell ref="AC114:AC117"/>
    <mergeCell ref="AD114:AD117"/>
    <mergeCell ref="AF82:AF85"/>
    <mergeCell ref="AF114:AF117"/>
    <mergeCell ref="B120:C120"/>
    <mergeCell ref="D120:G120"/>
    <mergeCell ref="F114:F117"/>
    <mergeCell ref="M82:M85"/>
    <mergeCell ref="N78:N81"/>
    <mergeCell ref="O78:O81"/>
    <mergeCell ref="P78:P81"/>
    <mergeCell ref="Q78:Q81"/>
    <mergeCell ref="R78:R81"/>
    <mergeCell ref="B86:B89"/>
    <mergeCell ref="Z124:AC124"/>
    <mergeCell ref="D124:E124"/>
    <mergeCell ref="D126:E126"/>
    <mergeCell ref="D123:E123"/>
    <mergeCell ref="V126:Y126"/>
    <mergeCell ref="Z126:AC126"/>
    <mergeCell ref="F123:I123"/>
    <mergeCell ref="J123:M123"/>
    <mergeCell ref="N123:Q123"/>
    <mergeCell ref="V123:Y123"/>
    <mergeCell ref="Z123:AC123"/>
    <mergeCell ref="F124:I124"/>
    <mergeCell ref="J124:M124"/>
    <mergeCell ref="N124:Q124"/>
    <mergeCell ref="F126:I126"/>
    <mergeCell ref="J126:M126"/>
    <mergeCell ref="R126:U126"/>
    <mergeCell ref="R123:U123"/>
    <mergeCell ref="N126:Q126"/>
    <mergeCell ref="R124:U124"/>
    <mergeCell ref="AI26:AI29"/>
    <mergeCell ref="AJ26:AJ27"/>
    <mergeCell ref="AJ28:AJ29"/>
    <mergeCell ref="AI30:AI33"/>
    <mergeCell ref="AJ30:AJ31"/>
    <mergeCell ref="AJ32:AJ33"/>
    <mergeCell ref="AI34:AI37"/>
    <mergeCell ref="AJ34:AJ35"/>
    <mergeCell ref="AJ36:AJ37"/>
    <mergeCell ref="AI14:AI17"/>
    <mergeCell ref="AJ14:AJ15"/>
    <mergeCell ref="AJ16:AJ17"/>
    <mergeCell ref="AI18:AI21"/>
    <mergeCell ref="AJ18:AJ19"/>
    <mergeCell ref="AJ20:AJ21"/>
    <mergeCell ref="AI22:AI25"/>
    <mergeCell ref="AJ22:AJ23"/>
    <mergeCell ref="AJ24:AJ25"/>
    <mergeCell ref="AI50:AI53"/>
    <mergeCell ref="AJ50:AJ51"/>
    <mergeCell ref="AJ52:AJ53"/>
    <mergeCell ref="AI54:AI57"/>
    <mergeCell ref="AJ54:AJ55"/>
    <mergeCell ref="AJ56:AJ57"/>
    <mergeCell ref="AI58:AI61"/>
    <mergeCell ref="AJ58:AJ59"/>
    <mergeCell ref="AJ60:AJ61"/>
    <mergeCell ref="AI38:AI41"/>
    <mergeCell ref="AJ38:AJ39"/>
    <mergeCell ref="AJ40:AJ41"/>
    <mergeCell ref="AI42:AI45"/>
    <mergeCell ref="AJ42:AJ43"/>
    <mergeCell ref="AJ44:AJ45"/>
    <mergeCell ref="AI46:AI49"/>
    <mergeCell ref="AJ46:AJ47"/>
    <mergeCell ref="AJ48:AJ49"/>
    <mergeCell ref="AJ92:AJ93"/>
    <mergeCell ref="AI94:AI97"/>
    <mergeCell ref="AJ94:AJ95"/>
    <mergeCell ref="AJ96:AJ97"/>
    <mergeCell ref="AI74:AI77"/>
    <mergeCell ref="AJ74:AJ75"/>
    <mergeCell ref="AJ76:AJ77"/>
    <mergeCell ref="AI78:AI81"/>
    <mergeCell ref="AJ78:AJ79"/>
    <mergeCell ref="AJ80:AJ81"/>
    <mergeCell ref="AI82:AI85"/>
    <mergeCell ref="AJ82:AJ83"/>
    <mergeCell ref="AJ84:AJ85"/>
    <mergeCell ref="AI62:AI65"/>
    <mergeCell ref="AJ62:AJ63"/>
    <mergeCell ref="AJ64:AJ65"/>
    <mergeCell ref="AI66:AI69"/>
    <mergeCell ref="AJ66:AJ67"/>
    <mergeCell ref="AJ68:AJ69"/>
    <mergeCell ref="AI70:AI73"/>
    <mergeCell ref="AJ70:AJ71"/>
    <mergeCell ref="AJ72:AJ73"/>
    <mergeCell ref="AM10:AN10"/>
    <mergeCell ref="AM14:AN14"/>
    <mergeCell ref="AM15:AN15"/>
    <mergeCell ref="AM16:AN16"/>
    <mergeCell ref="AM17:AN17"/>
    <mergeCell ref="AM18:AN18"/>
    <mergeCell ref="AM19:AN19"/>
    <mergeCell ref="AM20:AN20"/>
    <mergeCell ref="AM21:AN21"/>
    <mergeCell ref="F3:G3"/>
    <mergeCell ref="D3:E3"/>
    <mergeCell ref="F2:G2"/>
    <mergeCell ref="D2:E2"/>
    <mergeCell ref="C2:C3"/>
    <mergeCell ref="N1:S2"/>
    <mergeCell ref="AI114:AI117"/>
    <mergeCell ref="AJ114:AJ115"/>
    <mergeCell ref="AJ116:AJ117"/>
    <mergeCell ref="AI98:AI101"/>
    <mergeCell ref="AJ98:AJ99"/>
    <mergeCell ref="AJ100:AJ101"/>
    <mergeCell ref="AI102:AI105"/>
    <mergeCell ref="AJ102:AJ103"/>
    <mergeCell ref="AJ104:AJ105"/>
    <mergeCell ref="AI106:AI109"/>
    <mergeCell ref="AJ106:AJ107"/>
    <mergeCell ref="AJ108:AJ109"/>
    <mergeCell ref="AI86:AI89"/>
    <mergeCell ref="AJ86:AJ87"/>
    <mergeCell ref="AJ88:AJ89"/>
    <mergeCell ref="AI90:AI93"/>
    <mergeCell ref="AJ90:AJ91"/>
    <mergeCell ref="AM31:AN31"/>
    <mergeCell ref="AM32:AN32"/>
    <mergeCell ref="AM33:AN33"/>
    <mergeCell ref="AM34:AN34"/>
    <mergeCell ref="AM35:AN35"/>
    <mergeCell ref="AM36:AN36"/>
    <mergeCell ref="AM37:AN37"/>
    <mergeCell ref="AM38:AN38"/>
    <mergeCell ref="AM39:AN39"/>
    <mergeCell ref="AM22:AN22"/>
    <mergeCell ref="AM23:AN23"/>
    <mergeCell ref="AM24:AN24"/>
    <mergeCell ref="AM25:AN25"/>
    <mergeCell ref="AM26:AN26"/>
    <mergeCell ref="AM27:AN27"/>
    <mergeCell ref="AM28:AN28"/>
    <mergeCell ref="AM29:AN29"/>
    <mergeCell ref="AM30:AN30"/>
    <mergeCell ref="AM49:AN49"/>
    <mergeCell ref="AM50:AN50"/>
    <mergeCell ref="AM51:AN51"/>
    <mergeCell ref="AM52:AN52"/>
    <mergeCell ref="AM53:AN53"/>
    <mergeCell ref="AM54:AN54"/>
    <mergeCell ref="AM55:AN55"/>
    <mergeCell ref="AM56:AN56"/>
    <mergeCell ref="AM57:AN57"/>
    <mergeCell ref="AM40:AN40"/>
    <mergeCell ref="AM41:AN41"/>
    <mergeCell ref="AM42:AN42"/>
    <mergeCell ref="AM43:AN43"/>
    <mergeCell ref="AM44:AN44"/>
    <mergeCell ref="AM45:AN45"/>
    <mergeCell ref="AM46:AN46"/>
    <mergeCell ref="AM47:AN47"/>
    <mergeCell ref="AM48:AN48"/>
    <mergeCell ref="AM67:AN67"/>
    <mergeCell ref="AM68:AN68"/>
    <mergeCell ref="AM69:AN69"/>
    <mergeCell ref="AM70:AN70"/>
    <mergeCell ref="AM71:AN71"/>
    <mergeCell ref="AM72:AN72"/>
    <mergeCell ref="AM73:AN73"/>
    <mergeCell ref="AM74:AN74"/>
    <mergeCell ref="AM75:AN75"/>
    <mergeCell ref="AM58:AN58"/>
    <mergeCell ref="AM59:AN59"/>
    <mergeCell ref="AM60:AN60"/>
    <mergeCell ref="AM61:AN61"/>
    <mergeCell ref="AM62:AN62"/>
    <mergeCell ref="AM63:AN63"/>
    <mergeCell ref="AM64:AN64"/>
    <mergeCell ref="AM65:AN65"/>
    <mergeCell ref="AM66:AN66"/>
    <mergeCell ref="AM85:AN85"/>
    <mergeCell ref="AM86:AN86"/>
    <mergeCell ref="AM87:AN87"/>
    <mergeCell ref="AM88:AN88"/>
    <mergeCell ref="AM89:AN89"/>
    <mergeCell ref="AM90:AN90"/>
    <mergeCell ref="AM91:AN91"/>
    <mergeCell ref="AM92:AN92"/>
    <mergeCell ref="AM93:AN93"/>
    <mergeCell ref="AM76:AN76"/>
    <mergeCell ref="AM77:AN77"/>
    <mergeCell ref="AM78:AN78"/>
    <mergeCell ref="AM79:AN79"/>
    <mergeCell ref="AM80:AN80"/>
    <mergeCell ref="AM81:AN81"/>
    <mergeCell ref="AM82:AN82"/>
    <mergeCell ref="AM83:AN83"/>
    <mergeCell ref="AM84:AN84"/>
    <mergeCell ref="AM112:AN112"/>
    <mergeCell ref="AM113:AN113"/>
    <mergeCell ref="AM103:AN103"/>
    <mergeCell ref="AM104:AN104"/>
    <mergeCell ref="AM105:AN105"/>
    <mergeCell ref="AM106:AN106"/>
    <mergeCell ref="AM107:AN107"/>
    <mergeCell ref="AM108:AN108"/>
    <mergeCell ref="AM109:AN109"/>
    <mergeCell ref="AM110:AN110"/>
    <mergeCell ref="AM111:AN111"/>
    <mergeCell ref="AM94:AN94"/>
    <mergeCell ref="AM95:AN95"/>
    <mergeCell ref="AM96:AN96"/>
    <mergeCell ref="AM97:AN97"/>
    <mergeCell ref="AM98:AN98"/>
    <mergeCell ref="AM99:AN99"/>
    <mergeCell ref="AM100:AN100"/>
    <mergeCell ref="AM101:AN101"/>
    <mergeCell ref="AM102:AN102"/>
  </mergeCells>
  <phoneticPr fontId="3"/>
  <conditionalFormatting sqref="B5:AF5">
    <cfRule type="expression" dxfId="8" priority="491" stopIfTrue="1">
      <formula>MATCH(B5,祝日,0)&gt;0</formula>
    </cfRule>
    <cfRule type="expression" dxfId="7" priority="492" stopIfTrue="1">
      <formula>WEEKDAY(B5,1)=7</formula>
    </cfRule>
    <cfRule type="expression" dxfId="6" priority="493" stopIfTrue="1">
      <formula>WEEKDAY(B5,1)=1</formula>
    </cfRule>
  </conditionalFormatting>
  <conditionalFormatting sqref="B14:AF110 B114:AF117 B6:AF9">
    <cfRule type="expression" dxfId="5" priority="496" stopIfTrue="1">
      <formula>MATCH(B$5,祝日,0)&gt;0</formula>
    </cfRule>
    <cfRule type="expression" dxfId="4" priority="568" stopIfTrue="1">
      <formula>WEEKDAY(B$5,1)=7</formula>
    </cfRule>
    <cfRule type="expression" dxfId="3" priority="569" stopIfTrue="1">
      <formula>WEEKDAY(B$5,1)=1</formula>
    </cfRule>
  </conditionalFormatting>
  <conditionalFormatting sqref="B14:AF110 B114:AF117 B5:AF9">
    <cfRule type="expression" dxfId="2" priority="494" stopIfTrue="1">
      <formula>MONTH(B$5) &lt;&gt; MONTH($A$118)</formula>
    </cfRule>
  </conditionalFormatting>
  <conditionalFormatting sqref="F3:G3">
    <cfRule type="expression" dxfId="1" priority="2">
      <formula>$F$3&lt;$F$2</formula>
    </cfRule>
  </conditionalFormatting>
  <conditionalFormatting sqref="AJ16">
    <cfRule type="expression" dxfId="0" priority="1">
      <formula>AND(ISBLANK(C16),ISBLANK(C17))</formula>
    </cfRule>
  </conditionalFormatting>
  <dataValidations count="8">
    <dataValidation type="list" imeMode="disabled" allowBlank="1" showInputMessage="1" showErrorMessage="1" errorTitle="有給種別エラー" error="リストから有給種別を選択してください。" sqref="B16:AF16" xr:uid="{00000000-0002-0000-0000-000000000000}">
      <formula1>有給欄種類</formula1>
    </dataValidation>
    <dataValidation type="list" allowBlank="1" showInputMessage="1" showErrorMessage="1" sqref="AA1:AF1" xr:uid="{00000000-0002-0000-0000-000001000000}">
      <formula1>部署名</formula1>
    </dataValidation>
    <dataValidation type="decimal" imeMode="disabled" allowBlank="1" showInputMessage="1" showErrorMessage="1" errorTitle="工数入力エラー" error="0.0～24.0 の範囲で入力してください。" sqref="B18:AF110 B114:AF117" xr:uid="{00000000-0002-0000-0000-000002000000}">
      <formula1>0</formula1>
      <formula2>24</formula2>
    </dataValidation>
    <dataValidation allowBlank="1" showInputMessage="1" showErrorMessage="1" errorTitle="有給種別エラー" error="リストから有給種別を選択してください。" sqref="B17:AF17" xr:uid="{00000000-0002-0000-0000-000003000000}"/>
    <dataValidation type="list" imeMode="disabled" showInputMessage="1" showErrorMessage="1" errorTitle="選択エラー" error="無効な値です。" sqref="U137" xr:uid="{00000000-0002-0000-0000-000004000000}">
      <formula1>"8.0, 6.0"</formula1>
    </dataValidation>
    <dataValidation type="list" allowBlank="1" showInputMessage="1" showErrorMessage="1" sqref="AI3:AJ3" xr:uid="{00000000-0002-0000-0000-000005000000}">
      <formula1>"A,B"</formula1>
    </dataValidation>
    <dataValidation type="decimal" allowBlank="1" showInputMessage="1" showErrorMessage="1" errorTitle="時間入力エラー" error="0.0～24.0 の範囲で入力してください。" sqref="B8:AF9" xr:uid="{00000000-0002-0000-0000-000006000000}">
      <formula1>0</formula1>
      <formula2>24</formula2>
    </dataValidation>
    <dataValidation type="whole" operator="greaterThanOrEqual" allowBlank="1" showInputMessage="1" showErrorMessage="1" sqref="AJ14:AJ113" xr:uid="{00000000-0002-0000-0000-000007000000}">
      <formula1>0</formula1>
    </dataValidation>
  </dataValidations>
  <pageMargins left="0.31496062992125984" right="0.31496062992125984" top="0.55118110236220474" bottom="0.35433070866141736" header="0" footer="0"/>
  <pageSetup paperSize="9" scale="49" fitToHeight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58E9-550F-4CB2-9143-A0AF05152162}">
  <dimension ref="B2:AE51"/>
  <sheetViews>
    <sheetView view="pageBreakPreview" zoomScaleNormal="175" zoomScaleSheetLayoutView="100" workbookViewId="0"/>
  </sheetViews>
  <sheetFormatPr defaultRowHeight="13.2" x14ac:dyDescent="0.2"/>
  <cols>
    <col min="1" max="1" width="1.109375" style="160" customWidth="1"/>
    <col min="2" max="2" width="5.21875" style="160" customWidth="1"/>
    <col min="3" max="3" width="1.88671875" style="160" customWidth="1"/>
    <col min="4" max="4" width="4.33203125" style="160" customWidth="1"/>
    <col min="5" max="5" width="3.77734375" style="160" customWidth="1"/>
    <col min="6" max="6" width="3.44140625" style="160" customWidth="1"/>
    <col min="7" max="8" width="3.5546875" style="160" customWidth="1"/>
    <col min="9" max="9" width="3.77734375" style="160" customWidth="1"/>
    <col min="10" max="11" width="3.44140625" style="160" customWidth="1"/>
    <col min="12" max="13" width="3.5546875" style="160" customWidth="1"/>
    <col min="14" max="14" width="2.77734375" style="160" customWidth="1"/>
    <col min="15" max="15" width="4.77734375" style="160" customWidth="1"/>
    <col min="16" max="16" width="3" style="160" customWidth="1"/>
    <col min="17" max="17" width="5.5546875" style="160" customWidth="1"/>
    <col min="18" max="18" width="6.33203125" style="160" customWidth="1"/>
    <col min="19" max="19" width="6.21875" style="160" customWidth="1"/>
    <col min="20" max="20" width="6.5546875" style="160" customWidth="1"/>
    <col min="21" max="21" width="6" style="160" customWidth="1"/>
    <col min="22" max="22" width="6.88671875" style="160" customWidth="1"/>
    <col min="23" max="23" width="5.6640625" style="160" customWidth="1"/>
    <col min="24" max="24" width="3.21875" style="160" customWidth="1"/>
    <col min="25" max="25" width="9.33203125" style="160" customWidth="1"/>
    <col min="26" max="26" width="1.109375" style="160" customWidth="1"/>
    <col min="27" max="27" width="8.88671875" style="160"/>
    <col min="28" max="31" width="0" style="160" hidden="1" customWidth="1"/>
    <col min="32" max="16384" width="8.88671875" style="160"/>
  </cols>
  <sheetData>
    <row r="2" spans="2:31" ht="25.8" customHeight="1" x14ac:dyDescent="0.2">
      <c r="B2" s="299" t="s">
        <v>139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</row>
    <row r="4" spans="2:31" x14ac:dyDescent="0.2">
      <c r="R4" s="301" t="s">
        <v>140</v>
      </c>
      <c r="S4" s="302"/>
      <c r="T4" s="301" t="s">
        <v>141</v>
      </c>
      <c r="U4" s="302"/>
      <c r="V4" s="301" t="s">
        <v>142</v>
      </c>
      <c r="W4" s="302"/>
      <c r="X4" s="301" t="s">
        <v>143</v>
      </c>
      <c r="Y4" s="302"/>
    </row>
    <row r="5" spans="2:31" ht="18" customHeight="1" x14ac:dyDescent="0.2">
      <c r="B5" s="303" t="s">
        <v>144</v>
      </c>
      <c r="C5" s="303"/>
      <c r="D5" s="161">
        <f>作業報告書!D1</f>
        <v>4</v>
      </c>
      <c r="E5" s="162" t="s">
        <v>145</v>
      </c>
      <c r="F5" s="163">
        <f>DATE(2018+作業報告書!D1,作業報告書!F1,1)</f>
        <v>44682</v>
      </c>
      <c r="G5" s="162" t="s">
        <v>146</v>
      </c>
      <c r="H5" s="161">
        <v>1</v>
      </c>
      <c r="I5" s="162" t="s">
        <v>147</v>
      </c>
      <c r="J5" s="162" t="s">
        <v>148</v>
      </c>
      <c r="K5" s="161">
        <f>作業報告書!F1</f>
        <v>5</v>
      </c>
      <c r="L5" s="162" t="s">
        <v>149</v>
      </c>
      <c r="M5" s="164">
        <f>EOMONTH(F5,0)</f>
        <v>44712</v>
      </c>
      <c r="N5" s="162" t="s">
        <v>147</v>
      </c>
      <c r="O5" s="165"/>
      <c r="R5" s="304"/>
      <c r="S5" s="305"/>
      <c r="T5" s="304"/>
      <c r="U5" s="305"/>
      <c r="V5" s="304"/>
      <c r="W5" s="305"/>
      <c r="X5" s="304"/>
      <c r="Y5" s="305"/>
    </row>
    <row r="6" spans="2:31" x14ac:dyDescent="0.2">
      <c r="R6" s="306"/>
      <c r="S6" s="307"/>
      <c r="T6" s="306"/>
      <c r="U6" s="307"/>
      <c r="V6" s="306"/>
      <c r="W6" s="307"/>
      <c r="X6" s="306"/>
      <c r="Y6" s="307"/>
    </row>
    <row r="7" spans="2:31" ht="27" customHeight="1" x14ac:dyDescent="0.2">
      <c r="B7" s="328" t="s">
        <v>150</v>
      </c>
      <c r="C7" s="328"/>
      <c r="D7" s="328"/>
      <c r="E7" s="328"/>
      <c r="F7" s="329" t="s">
        <v>151</v>
      </c>
      <c r="G7" s="329"/>
      <c r="H7" s="329"/>
      <c r="I7" s="329"/>
      <c r="J7" s="329"/>
      <c r="K7" s="329"/>
      <c r="L7" s="329"/>
      <c r="M7" s="329"/>
      <c r="N7" s="162" t="s">
        <v>152</v>
      </c>
      <c r="O7" s="166"/>
      <c r="R7" s="308"/>
      <c r="S7" s="309"/>
      <c r="T7" s="308"/>
      <c r="U7" s="309"/>
      <c r="V7" s="308"/>
      <c r="W7" s="309"/>
      <c r="X7" s="308"/>
      <c r="Y7" s="309"/>
    </row>
    <row r="8" spans="2:31" x14ac:dyDescent="0.2">
      <c r="B8" s="167"/>
      <c r="C8" s="167"/>
      <c r="D8" s="167"/>
      <c r="E8" s="167"/>
      <c r="N8" s="167"/>
      <c r="O8" s="167"/>
      <c r="AA8" s="160" t="s">
        <v>153</v>
      </c>
    </row>
    <row r="9" spans="2:31" ht="27" customHeight="1" thickBot="1" x14ac:dyDescent="0.25">
      <c r="B9" s="328" t="s">
        <v>154</v>
      </c>
      <c r="C9" s="328"/>
      <c r="D9" s="328"/>
      <c r="E9" s="328"/>
      <c r="F9" s="329" t="str">
        <f>作業報告書!AA3</f>
        <v>日隈 友也</v>
      </c>
      <c r="G9" s="329"/>
      <c r="H9" s="329"/>
      <c r="I9" s="329"/>
      <c r="J9" s="329"/>
      <c r="K9" s="329"/>
      <c r="L9" s="329"/>
      <c r="M9" s="329"/>
      <c r="N9" s="168" t="s">
        <v>152</v>
      </c>
      <c r="O9" s="166"/>
      <c r="R9" s="330" t="s">
        <v>155</v>
      </c>
      <c r="S9" s="330"/>
      <c r="T9" s="331">
        <f>W49+Y49</f>
        <v>0</v>
      </c>
      <c r="U9" s="331"/>
      <c r="V9" s="331"/>
      <c r="W9" s="331"/>
      <c r="X9" s="331"/>
      <c r="Y9" s="331"/>
      <c r="AA9" s="160" t="s">
        <v>156</v>
      </c>
    </row>
    <row r="10" spans="2:31" ht="18" customHeight="1" thickBot="1" x14ac:dyDescent="0.25"/>
    <row r="11" spans="2:31" ht="18" customHeight="1" x14ac:dyDescent="0.2">
      <c r="B11" s="310" t="s">
        <v>157</v>
      </c>
      <c r="C11" s="311"/>
      <c r="D11" s="314" t="s">
        <v>158</v>
      </c>
      <c r="E11" s="311"/>
      <c r="F11" s="311"/>
      <c r="G11" s="315"/>
      <c r="H11" s="318" t="s">
        <v>159</v>
      </c>
      <c r="I11" s="318"/>
      <c r="J11" s="318"/>
      <c r="K11" s="318"/>
      <c r="L11" s="318"/>
      <c r="M11" s="318"/>
      <c r="N11" s="318"/>
      <c r="O11" s="318"/>
      <c r="P11" s="318"/>
      <c r="Q11" s="318"/>
      <c r="R11" s="318"/>
      <c r="S11" s="318"/>
      <c r="T11" s="169" t="s">
        <v>160</v>
      </c>
      <c r="U11" s="170" t="s">
        <v>161</v>
      </c>
      <c r="V11" s="319" t="s">
        <v>162</v>
      </c>
      <c r="W11" s="321" t="s">
        <v>163</v>
      </c>
      <c r="X11" s="322"/>
      <c r="Y11" s="325" t="s">
        <v>164</v>
      </c>
      <c r="AB11" s="390" t="s">
        <v>172</v>
      </c>
      <c r="AC11" s="390"/>
      <c r="AD11" s="390"/>
      <c r="AE11" s="390"/>
    </row>
    <row r="12" spans="2:31" ht="18" customHeight="1" thickBot="1" x14ac:dyDescent="0.2">
      <c r="B12" s="312"/>
      <c r="C12" s="313"/>
      <c r="D12" s="316"/>
      <c r="E12" s="313"/>
      <c r="F12" s="313"/>
      <c r="G12" s="317"/>
      <c r="H12" s="313" t="s">
        <v>165</v>
      </c>
      <c r="I12" s="313"/>
      <c r="J12" s="313"/>
      <c r="K12" s="327" t="s">
        <v>166</v>
      </c>
      <c r="L12" s="313"/>
      <c r="M12" s="313"/>
      <c r="N12" s="313"/>
      <c r="O12" s="313"/>
      <c r="P12" s="313"/>
      <c r="Q12" s="313"/>
      <c r="R12" s="313"/>
      <c r="S12" s="313"/>
      <c r="T12" s="171" t="s">
        <v>167</v>
      </c>
      <c r="U12" s="172" t="s">
        <v>168</v>
      </c>
      <c r="V12" s="320"/>
      <c r="W12" s="323"/>
      <c r="X12" s="324"/>
      <c r="Y12" s="326"/>
      <c r="AB12" s="197" t="s">
        <v>173</v>
      </c>
      <c r="AC12" s="197" t="s">
        <v>174</v>
      </c>
      <c r="AD12" s="197" t="s">
        <v>175</v>
      </c>
      <c r="AE12" s="197" t="s">
        <v>176</v>
      </c>
    </row>
    <row r="13" spans="2:31" ht="18" customHeight="1" x14ac:dyDescent="0.2">
      <c r="B13" s="348"/>
      <c r="C13" s="349"/>
      <c r="D13" s="173" t="s">
        <v>169</v>
      </c>
      <c r="E13" s="352"/>
      <c r="F13" s="352"/>
      <c r="G13" s="353"/>
      <c r="H13" s="342"/>
      <c r="I13" s="343"/>
      <c r="J13" s="344"/>
      <c r="K13" s="354"/>
      <c r="L13" s="355"/>
      <c r="M13" s="355"/>
      <c r="N13" s="355"/>
      <c r="O13" s="355"/>
      <c r="P13" s="174" t="s">
        <v>148</v>
      </c>
      <c r="Q13" s="355"/>
      <c r="R13" s="355"/>
      <c r="S13" s="356"/>
      <c r="T13" s="175"/>
      <c r="U13" s="176"/>
      <c r="V13" s="177" t="str">
        <f t="shared" ref="V13:V48" si="0">IF(U13="片道",T13,IF(U13="往復",T13*2,"　"))</f>
        <v>　</v>
      </c>
      <c r="W13" s="357">
        <f>SUM(V13:V15)</f>
        <v>0</v>
      </c>
      <c r="X13" s="358"/>
      <c r="Y13" s="332"/>
      <c r="AB13" s="197">
        <f>E13</f>
        <v>0</v>
      </c>
      <c r="AC13" s="198">
        <f>W13+Y13</f>
        <v>0</v>
      </c>
      <c r="AD13" s="197" cm="1">
        <f t="array" ref="AD13">_xlfn.UNIQUE(E13:E46,FALSE,FALSE)</f>
        <v>0</v>
      </c>
      <c r="AE13" s="199" cm="1">
        <f t="array" ref="AE13:AE48">SUMIF(AB13:AB48,AD13:AD48,AC13:AC48)</f>
        <v>0</v>
      </c>
    </row>
    <row r="14" spans="2:31" ht="18" customHeight="1" x14ac:dyDescent="0.2">
      <c r="B14" s="348"/>
      <c r="C14" s="349"/>
      <c r="D14" s="334"/>
      <c r="E14" s="335"/>
      <c r="F14" s="335"/>
      <c r="G14" s="336"/>
      <c r="H14" s="337"/>
      <c r="I14" s="338"/>
      <c r="J14" s="339"/>
      <c r="K14" s="340"/>
      <c r="L14" s="338"/>
      <c r="M14" s="338"/>
      <c r="N14" s="338"/>
      <c r="O14" s="338"/>
      <c r="P14" s="178" t="s">
        <v>148</v>
      </c>
      <c r="Q14" s="338"/>
      <c r="R14" s="338"/>
      <c r="S14" s="341"/>
      <c r="T14" s="179"/>
      <c r="U14" s="180"/>
      <c r="V14" s="181" t="str">
        <f t="shared" si="0"/>
        <v>　</v>
      </c>
      <c r="W14" s="357"/>
      <c r="X14" s="358"/>
      <c r="Y14" s="332"/>
      <c r="AB14" s="197">
        <f t="shared" ref="AB14:AB48" si="1">E14</f>
        <v>0</v>
      </c>
      <c r="AC14" s="198">
        <f t="shared" ref="AC14:AC48" si="2">W14+Y14</f>
        <v>0</v>
      </c>
      <c r="AD14" s="197"/>
      <c r="AE14" s="199">
        <v>0</v>
      </c>
    </row>
    <row r="15" spans="2:31" ht="18" customHeight="1" x14ac:dyDescent="0.2">
      <c r="B15" s="350"/>
      <c r="C15" s="351"/>
      <c r="D15" s="334"/>
      <c r="E15" s="335"/>
      <c r="F15" s="335"/>
      <c r="G15" s="336"/>
      <c r="H15" s="342"/>
      <c r="I15" s="343"/>
      <c r="J15" s="344"/>
      <c r="K15" s="345"/>
      <c r="L15" s="346"/>
      <c r="M15" s="346"/>
      <c r="N15" s="346"/>
      <c r="O15" s="346"/>
      <c r="P15" s="182" t="s">
        <v>148</v>
      </c>
      <c r="Q15" s="346"/>
      <c r="R15" s="346"/>
      <c r="S15" s="347"/>
      <c r="T15" s="175"/>
      <c r="U15" s="183"/>
      <c r="V15" s="184" t="str">
        <f t="shared" si="0"/>
        <v>　</v>
      </c>
      <c r="W15" s="359"/>
      <c r="X15" s="360"/>
      <c r="Y15" s="333"/>
      <c r="AB15" s="197">
        <f t="shared" si="1"/>
        <v>0</v>
      </c>
      <c r="AC15" s="198">
        <f t="shared" si="2"/>
        <v>0</v>
      </c>
      <c r="AD15" s="197"/>
      <c r="AE15" s="199">
        <v>0</v>
      </c>
    </row>
    <row r="16" spans="2:31" ht="18" customHeight="1" x14ac:dyDescent="0.2">
      <c r="B16" s="371"/>
      <c r="C16" s="372"/>
      <c r="D16" s="185" t="s">
        <v>169</v>
      </c>
      <c r="E16" s="373"/>
      <c r="F16" s="373"/>
      <c r="G16" s="374"/>
      <c r="H16" s="375"/>
      <c r="I16" s="376"/>
      <c r="J16" s="377"/>
      <c r="K16" s="378"/>
      <c r="L16" s="376"/>
      <c r="M16" s="376"/>
      <c r="N16" s="376"/>
      <c r="O16" s="376"/>
      <c r="P16" s="186" t="s">
        <v>148</v>
      </c>
      <c r="Q16" s="376"/>
      <c r="R16" s="376"/>
      <c r="S16" s="379"/>
      <c r="T16" s="187"/>
      <c r="U16" s="188"/>
      <c r="V16" s="189" t="str">
        <f t="shared" si="0"/>
        <v>　</v>
      </c>
      <c r="W16" s="380">
        <f>SUM(V16:V18)</f>
        <v>0</v>
      </c>
      <c r="X16" s="381"/>
      <c r="Y16" s="361"/>
      <c r="AB16" s="197">
        <f t="shared" si="1"/>
        <v>0</v>
      </c>
      <c r="AC16" s="198">
        <f t="shared" si="2"/>
        <v>0</v>
      </c>
      <c r="AD16" s="197"/>
      <c r="AE16" s="199">
        <v>0</v>
      </c>
    </row>
    <row r="17" spans="2:31" ht="18" customHeight="1" x14ac:dyDescent="0.2">
      <c r="B17" s="348"/>
      <c r="C17" s="349"/>
      <c r="D17" s="362"/>
      <c r="E17" s="363"/>
      <c r="F17" s="363"/>
      <c r="G17" s="364"/>
      <c r="H17" s="337"/>
      <c r="I17" s="338"/>
      <c r="J17" s="339"/>
      <c r="K17" s="340"/>
      <c r="L17" s="338"/>
      <c r="M17" s="338"/>
      <c r="N17" s="338"/>
      <c r="O17" s="338"/>
      <c r="P17" s="178" t="s">
        <v>148</v>
      </c>
      <c r="Q17" s="338"/>
      <c r="R17" s="338"/>
      <c r="S17" s="341"/>
      <c r="T17" s="179"/>
      <c r="U17" s="180"/>
      <c r="V17" s="181" t="str">
        <f t="shared" si="0"/>
        <v>　</v>
      </c>
      <c r="W17" s="357"/>
      <c r="X17" s="358"/>
      <c r="Y17" s="332"/>
      <c r="AB17" s="197">
        <f t="shared" si="1"/>
        <v>0</v>
      </c>
      <c r="AC17" s="198">
        <f t="shared" si="2"/>
        <v>0</v>
      </c>
      <c r="AD17" s="197"/>
      <c r="AE17" s="199">
        <v>0</v>
      </c>
    </row>
    <row r="18" spans="2:31" ht="18" customHeight="1" x14ac:dyDescent="0.2">
      <c r="B18" s="350"/>
      <c r="C18" s="351"/>
      <c r="D18" s="362"/>
      <c r="E18" s="363"/>
      <c r="F18" s="363"/>
      <c r="G18" s="364"/>
      <c r="H18" s="365"/>
      <c r="I18" s="366"/>
      <c r="J18" s="367"/>
      <c r="K18" s="368"/>
      <c r="L18" s="369"/>
      <c r="M18" s="369"/>
      <c r="N18" s="369"/>
      <c r="O18" s="369"/>
      <c r="P18" s="190" t="s">
        <v>148</v>
      </c>
      <c r="Q18" s="369"/>
      <c r="R18" s="369"/>
      <c r="S18" s="370"/>
      <c r="T18" s="191"/>
      <c r="U18" s="183"/>
      <c r="V18" s="184" t="str">
        <f t="shared" si="0"/>
        <v>　</v>
      </c>
      <c r="W18" s="359"/>
      <c r="X18" s="360"/>
      <c r="Y18" s="333"/>
      <c r="AB18" s="197">
        <f t="shared" si="1"/>
        <v>0</v>
      </c>
      <c r="AC18" s="198">
        <f t="shared" si="2"/>
        <v>0</v>
      </c>
      <c r="AD18" s="197"/>
      <c r="AE18" s="199">
        <v>0</v>
      </c>
    </row>
    <row r="19" spans="2:31" ht="18" customHeight="1" x14ac:dyDescent="0.2">
      <c r="B19" s="371"/>
      <c r="C19" s="372"/>
      <c r="D19" s="185" t="s">
        <v>169</v>
      </c>
      <c r="E19" s="373"/>
      <c r="F19" s="373"/>
      <c r="G19" s="374"/>
      <c r="H19" s="382"/>
      <c r="I19" s="383"/>
      <c r="J19" s="384"/>
      <c r="K19" s="378"/>
      <c r="L19" s="376"/>
      <c r="M19" s="376"/>
      <c r="N19" s="376"/>
      <c r="O19" s="376"/>
      <c r="P19" s="186" t="s">
        <v>148</v>
      </c>
      <c r="Q19" s="376"/>
      <c r="R19" s="376"/>
      <c r="S19" s="379"/>
      <c r="T19" s="187"/>
      <c r="U19" s="188"/>
      <c r="V19" s="189" t="str">
        <f t="shared" si="0"/>
        <v>　</v>
      </c>
      <c r="W19" s="380">
        <f>SUM(V19:V21)</f>
        <v>0</v>
      </c>
      <c r="X19" s="381"/>
      <c r="Y19" s="361"/>
      <c r="AB19" s="197">
        <f t="shared" si="1"/>
        <v>0</v>
      </c>
      <c r="AC19" s="198">
        <f t="shared" si="2"/>
        <v>0</v>
      </c>
      <c r="AD19" s="197"/>
      <c r="AE19" s="199">
        <v>0</v>
      </c>
    </row>
    <row r="20" spans="2:31" ht="18" customHeight="1" x14ac:dyDescent="0.2">
      <c r="B20" s="348"/>
      <c r="C20" s="349"/>
      <c r="D20" s="362"/>
      <c r="E20" s="363"/>
      <c r="F20" s="363"/>
      <c r="G20" s="364"/>
      <c r="H20" s="337"/>
      <c r="I20" s="338"/>
      <c r="J20" s="339"/>
      <c r="K20" s="340"/>
      <c r="L20" s="338"/>
      <c r="M20" s="338"/>
      <c r="N20" s="338"/>
      <c r="O20" s="338"/>
      <c r="P20" s="178" t="s">
        <v>148</v>
      </c>
      <c r="Q20" s="338"/>
      <c r="R20" s="338"/>
      <c r="S20" s="341"/>
      <c r="T20" s="179"/>
      <c r="U20" s="180"/>
      <c r="V20" s="181" t="str">
        <f t="shared" si="0"/>
        <v>　</v>
      </c>
      <c r="W20" s="357"/>
      <c r="X20" s="358"/>
      <c r="Y20" s="332"/>
      <c r="AB20" s="197">
        <f t="shared" si="1"/>
        <v>0</v>
      </c>
      <c r="AC20" s="198">
        <f t="shared" si="2"/>
        <v>0</v>
      </c>
      <c r="AD20" s="197"/>
      <c r="AE20" s="199">
        <v>0</v>
      </c>
    </row>
    <row r="21" spans="2:31" ht="18" customHeight="1" x14ac:dyDescent="0.2">
      <c r="B21" s="350"/>
      <c r="C21" s="351"/>
      <c r="D21" s="362"/>
      <c r="E21" s="363"/>
      <c r="F21" s="363"/>
      <c r="G21" s="364"/>
      <c r="H21" s="365"/>
      <c r="I21" s="366"/>
      <c r="J21" s="367"/>
      <c r="K21" s="368"/>
      <c r="L21" s="369"/>
      <c r="M21" s="369"/>
      <c r="N21" s="369"/>
      <c r="O21" s="369"/>
      <c r="P21" s="190" t="s">
        <v>148</v>
      </c>
      <c r="Q21" s="369"/>
      <c r="R21" s="369"/>
      <c r="S21" s="370"/>
      <c r="T21" s="191"/>
      <c r="U21" s="183"/>
      <c r="V21" s="184" t="str">
        <f t="shared" si="0"/>
        <v>　</v>
      </c>
      <c r="W21" s="359"/>
      <c r="X21" s="360"/>
      <c r="Y21" s="333"/>
      <c r="AB21" s="197">
        <f t="shared" si="1"/>
        <v>0</v>
      </c>
      <c r="AC21" s="198">
        <f t="shared" si="2"/>
        <v>0</v>
      </c>
      <c r="AD21" s="197"/>
      <c r="AE21" s="199">
        <v>0</v>
      </c>
    </row>
    <row r="22" spans="2:31" ht="18" customHeight="1" x14ac:dyDescent="0.2">
      <c r="B22" s="371"/>
      <c r="C22" s="372"/>
      <c r="D22" s="185" t="s">
        <v>169</v>
      </c>
      <c r="E22" s="373"/>
      <c r="F22" s="373"/>
      <c r="G22" s="374"/>
      <c r="H22" s="382"/>
      <c r="I22" s="383"/>
      <c r="J22" s="384"/>
      <c r="K22" s="378"/>
      <c r="L22" s="376"/>
      <c r="M22" s="376"/>
      <c r="N22" s="376"/>
      <c r="O22" s="376"/>
      <c r="P22" s="186" t="s">
        <v>148</v>
      </c>
      <c r="Q22" s="376"/>
      <c r="R22" s="376"/>
      <c r="S22" s="379"/>
      <c r="T22" s="187"/>
      <c r="U22" s="188"/>
      <c r="V22" s="189" t="str">
        <f t="shared" si="0"/>
        <v>　</v>
      </c>
      <c r="W22" s="380">
        <f>SUM(V22:V24)</f>
        <v>0</v>
      </c>
      <c r="X22" s="381"/>
      <c r="Y22" s="361"/>
      <c r="AB22" s="197">
        <f t="shared" si="1"/>
        <v>0</v>
      </c>
      <c r="AC22" s="198">
        <f t="shared" si="2"/>
        <v>0</v>
      </c>
      <c r="AD22" s="197"/>
      <c r="AE22" s="199">
        <v>0</v>
      </c>
    </row>
    <row r="23" spans="2:31" ht="18" customHeight="1" x14ac:dyDescent="0.2">
      <c r="B23" s="348"/>
      <c r="C23" s="349"/>
      <c r="D23" s="362"/>
      <c r="E23" s="363"/>
      <c r="F23" s="363"/>
      <c r="G23" s="364"/>
      <c r="H23" s="337"/>
      <c r="I23" s="338"/>
      <c r="J23" s="339"/>
      <c r="K23" s="340"/>
      <c r="L23" s="338"/>
      <c r="M23" s="338"/>
      <c r="N23" s="338"/>
      <c r="O23" s="338"/>
      <c r="P23" s="178" t="s">
        <v>148</v>
      </c>
      <c r="Q23" s="338"/>
      <c r="R23" s="338"/>
      <c r="S23" s="341"/>
      <c r="T23" s="179"/>
      <c r="U23" s="180"/>
      <c r="V23" s="181" t="str">
        <f t="shared" si="0"/>
        <v>　</v>
      </c>
      <c r="W23" s="357"/>
      <c r="X23" s="358"/>
      <c r="Y23" s="332"/>
      <c r="AB23" s="197">
        <f t="shared" si="1"/>
        <v>0</v>
      </c>
      <c r="AC23" s="198">
        <f t="shared" si="2"/>
        <v>0</v>
      </c>
      <c r="AD23" s="197"/>
      <c r="AE23" s="199">
        <v>0</v>
      </c>
    </row>
    <row r="24" spans="2:31" ht="18" customHeight="1" x14ac:dyDescent="0.2">
      <c r="B24" s="350"/>
      <c r="C24" s="351"/>
      <c r="D24" s="362"/>
      <c r="E24" s="363"/>
      <c r="F24" s="363"/>
      <c r="G24" s="364"/>
      <c r="H24" s="365"/>
      <c r="I24" s="366"/>
      <c r="J24" s="367"/>
      <c r="K24" s="368"/>
      <c r="L24" s="369"/>
      <c r="M24" s="369"/>
      <c r="N24" s="369"/>
      <c r="O24" s="369"/>
      <c r="P24" s="190" t="s">
        <v>148</v>
      </c>
      <c r="Q24" s="369"/>
      <c r="R24" s="369"/>
      <c r="S24" s="370"/>
      <c r="T24" s="191"/>
      <c r="U24" s="183"/>
      <c r="V24" s="184" t="str">
        <f t="shared" si="0"/>
        <v>　</v>
      </c>
      <c r="W24" s="359"/>
      <c r="X24" s="360"/>
      <c r="Y24" s="333"/>
      <c r="AB24" s="197">
        <f t="shared" si="1"/>
        <v>0</v>
      </c>
      <c r="AC24" s="198">
        <f t="shared" si="2"/>
        <v>0</v>
      </c>
      <c r="AD24" s="197"/>
      <c r="AE24" s="199">
        <v>0</v>
      </c>
    </row>
    <row r="25" spans="2:31" ht="18" customHeight="1" x14ac:dyDescent="0.2">
      <c r="B25" s="371"/>
      <c r="C25" s="372"/>
      <c r="D25" s="185" t="s">
        <v>169</v>
      </c>
      <c r="E25" s="373"/>
      <c r="F25" s="373"/>
      <c r="G25" s="374"/>
      <c r="H25" s="382"/>
      <c r="I25" s="383"/>
      <c r="J25" s="384"/>
      <c r="K25" s="378"/>
      <c r="L25" s="376"/>
      <c r="M25" s="376"/>
      <c r="N25" s="376"/>
      <c r="O25" s="376"/>
      <c r="P25" s="186" t="s">
        <v>148</v>
      </c>
      <c r="Q25" s="376"/>
      <c r="R25" s="376"/>
      <c r="S25" s="379"/>
      <c r="T25" s="187"/>
      <c r="U25" s="188"/>
      <c r="V25" s="189" t="str">
        <f t="shared" si="0"/>
        <v>　</v>
      </c>
      <c r="W25" s="380">
        <f>SUM(V25:V27)</f>
        <v>0</v>
      </c>
      <c r="X25" s="381"/>
      <c r="Y25" s="361"/>
      <c r="AB25" s="197">
        <f t="shared" si="1"/>
        <v>0</v>
      </c>
      <c r="AC25" s="198">
        <f t="shared" si="2"/>
        <v>0</v>
      </c>
      <c r="AD25" s="197"/>
      <c r="AE25" s="199">
        <v>0</v>
      </c>
    </row>
    <row r="26" spans="2:31" ht="18" customHeight="1" x14ac:dyDescent="0.2">
      <c r="B26" s="348"/>
      <c r="C26" s="349"/>
      <c r="D26" s="362"/>
      <c r="E26" s="363"/>
      <c r="F26" s="363"/>
      <c r="G26" s="364"/>
      <c r="H26" s="337"/>
      <c r="I26" s="338"/>
      <c r="J26" s="339"/>
      <c r="K26" s="340"/>
      <c r="L26" s="338"/>
      <c r="M26" s="338"/>
      <c r="N26" s="338"/>
      <c r="O26" s="338"/>
      <c r="P26" s="178" t="s">
        <v>148</v>
      </c>
      <c r="Q26" s="338"/>
      <c r="R26" s="338"/>
      <c r="S26" s="341"/>
      <c r="T26" s="179"/>
      <c r="U26" s="180"/>
      <c r="V26" s="181" t="str">
        <f t="shared" si="0"/>
        <v>　</v>
      </c>
      <c r="W26" s="357"/>
      <c r="X26" s="358"/>
      <c r="Y26" s="332"/>
      <c r="AB26" s="197">
        <f t="shared" si="1"/>
        <v>0</v>
      </c>
      <c r="AC26" s="198">
        <f t="shared" si="2"/>
        <v>0</v>
      </c>
      <c r="AD26" s="197"/>
      <c r="AE26" s="199">
        <v>0</v>
      </c>
    </row>
    <row r="27" spans="2:31" ht="18" customHeight="1" x14ac:dyDescent="0.2">
      <c r="B27" s="350"/>
      <c r="C27" s="351"/>
      <c r="D27" s="362"/>
      <c r="E27" s="363"/>
      <c r="F27" s="363"/>
      <c r="G27" s="364"/>
      <c r="H27" s="365"/>
      <c r="I27" s="366"/>
      <c r="J27" s="367"/>
      <c r="K27" s="368"/>
      <c r="L27" s="369"/>
      <c r="M27" s="369"/>
      <c r="N27" s="369"/>
      <c r="O27" s="369"/>
      <c r="P27" s="190" t="s">
        <v>148</v>
      </c>
      <c r="Q27" s="369"/>
      <c r="R27" s="369"/>
      <c r="S27" s="370"/>
      <c r="T27" s="191"/>
      <c r="U27" s="183"/>
      <c r="V27" s="184" t="str">
        <f t="shared" si="0"/>
        <v>　</v>
      </c>
      <c r="W27" s="359"/>
      <c r="X27" s="360"/>
      <c r="Y27" s="333"/>
      <c r="AB27" s="197">
        <f t="shared" si="1"/>
        <v>0</v>
      </c>
      <c r="AC27" s="198">
        <f t="shared" si="2"/>
        <v>0</v>
      </c>
      <c r="AD27" s="197"/>
      <c r="AE27" s="199">
        <v>0</v>
      </c>
    </row>
    <row r="28" spans="2:31" ht="18" customHeight="1" x14ac:dyDescent="0.2">
      <c r="B28" s="371"/>
      <c r="C28" s="372"/>
      <c r="D28" s="185" t="s">
        <v>169</v>
      </c>
      <c r="E28" s="373"/>
      <c r="F28" s="373"/>
      <c r="G28" s="374"/>
      <c r="H28" s="382"/>
      <c r="I28" s="383"/>
      <c r="J28" s="384"/>
      <c r="K28" s="378"/>
      <c r="L28" s="376"/>
      <c r="M28" s="376"/>
      <c r="N28" s="376"/>
      <c r="O28" s="376"/>
      <c r="P28" s="186" t="s">
        <v>148</v>
      </c>
      <c r="Q28" s="376"/>
      <c r="R28" s="376"/>
      <c r="S28" s="379"/>
      <c r="T28" s="187"/>
      <c r="U28" s="188"/>
      <c r="V28" s="189" t="str">
        <f t="shared" si="0"/>
        <v>　</v>
      </c>
      <c r="W28" s="380">
        <f>SUM(V28:V30)</f>
        <v>0</v>
      </c>
      <c r="X28" s="381"/>
      <c r="Y28" s="361"/>
      <c r="AB28" s="197">
        <f t="shared" si="1"/>
        <v>0</v>
      </c>
      <c r="AC28" s="198">
        <f t="shared" si="2"/>
        <v>0</v>
      </c>
      <c r="AD28" s="197"/>
      <c r="AE28" s="199">
        <v>0</v>
      </c>
    </row>
    <row r="29" spans="2:31" ht="18" customHeight="1" x14ac:dyDescent="0.2">
      <c r="B29" s="348"/>
      <c r="C29" s="349"/>
      <c r="D29" s="362"/>
      <c r="E29" s="363"/>
      <c r="F29" s="363"/>
      <c r="G29" s="364"/>
      <c r="H29" s="337"/>
      <c r="I29" s="338"/>
      <c r="J29" s="339"/>
      <c r="K29" s="340"/>
      <c r="L29" s="338"/>
      <c r="M29" s="338"/>
      <c r="N29" s="338"/>
      <c r="O29" s="338"/>
      <c r="P29" s="178" t="s">
        <v>148</v>
      </c>
      <c r="Q29" s="338"/>
      <c r="R29" s="338"/>
      <c r="S29" s="341"/>
      <c r="T29" s="179"/>
      <c r="U29" s="180"/>
      <c r="V29" s="181" t="str">
        <f t="shared" si="0"/>
        <v>　</v>
      </c>
      <c r="W29" s="357"/>
      <c r="X29" s="358"/>
      <c r="Y29" s="332"/>
      <c r="AB29" s="197">
        <f t="shared" si="1"/>
        <v>0</v>
      </c>
      <c r="AC29" s="198">
        <f t="shared" si="2"/>
        <v>0</v>
      </c>
      <c r="AD29" s="197"/>
      <c r="AE29" s="199">
        <v>0</v>
      </c>
    </row>
    <row r="30" spans="2:31" ht="18" customHeight="1" x14ac:dyDescent="0.2">
      <c r="B30" s="350"/>
      <c r="C30" s="351"/>
      <c r="D30" s="362"/>
      <c r="E30" s="363"/>
      <c r="F30" s="363"/>
      <c r="G30" s="364"/>
      <c r="H30" s="365"/>
      <c r="I30" s="366"/>
      <c r="J30" s="367"/>
      <c r="K30" s="368"/>
      <c r="L30" s="369"/>
      <c r="M30" s="369"/>
      <c r="N30" s="369"/>
      <c r="O30" s="369"/>
      <c r="P30" s="190" t="s">
        <v>148</v>
      </c>
      <c r="Q30" s="369"/>
      <c r="R30" s="369"/>
      <c r="S30" s="370"/>
      <c r="T30" s="191"/>
      <c r="U30" s="183"/>
      <c r="V30" s="184" t="str">
        <f t="shared" si="0"/>
        <v>　</v>
      </c>
      <c r="W30" s="359"/>
      <c r="X30" s="360"/>
      <c r="Y30" s="333"/>
      <c r="AB30" s="197">
        <f t="shared" si="1"/>
        <v>0</v>
      </c>
      <c r="AC30" s="198">
        <f t="shared" si="2"/>
        <v>0</v>
      </c>
      <c r="AD30" s="197"/>
      <c r="AE30" s="199">
        <v>0</v>
      </c>
    </row>
    <row r="31" spans="2:31" ht="18" customHeight="1" x14ac:dyDescent="0.2">
      <c r="B31" s="371"/>
      <c r="C31" s="372"/>
      <c r="D31" s="185" t="s">
        <v>169</v>
      </c>
      <c r="E31" s="373"/>
      <c r="F31" s="373"/>
      <c r="G31" s="374"/>
      <c r="H31" s="382"/>
      <c r="I31" s="383"/>
      <c r="J31" s="384"/>
      <c r="K31" s="378"/>
      <c r="L31" s="376"/>
      <c r="M31" s="376"/>
      <c r="N31" s="376"/>
      <c r="O31" s="376"/>
      <c r="P31" s="186" t="s">
        <v>148</v>
      </c>
      <c r="Q31" s="376"/>
      <c r="R31" s="376"/>
      <c r="S31" s="379"/>
      <c r="T31" s="187"/>
      <c r="U31" s="188"/>
      <c r="V31" s="189" t="str">
        <f t="shared" si="0"/>
        <v>　</v>
      </c>
      <c r="W31" s="380">
        <f>SUM(V31:V33)</f>
        <v>0</v>
      </c>
      <c r="X31" s="381"/>
      <c r="Y31" s="361"/>
      <c r="AB31" s="197">
        <f t="shared" si="1"/>
        <v>0</v>
      </c>
      <c r="AC31" s="198">
        <f t="shared" si="2"/>
        <v>0</v>
      </c>
      <c r="AD31" s="197"/>
      <c r="AE31" s="199">
        <v>0</v>
      </c>
    </row>
    <row r="32" spans="2:31" ht="18" customHeight="1" x14ac:dyDescent="0.2">
      <c r="B32" s="348"/>
      <c r="C32" s="349"/>
      <c r="D32" s="362"/>
      <c r="E32" s="363"/>
      <c r="F32" s="363"/>
      <c r="G32" s="364"/>
      <c r="H32" s="337"/>
      <c r="I32" s="338"/>
      <c r="J32" s="339"/>
      <c r="K32" s="340"/>
      <c r="L32" s="338"/>
      <c r="M32" s="338"/>
      <c r="N32" s="338"/>
      <c r="O32" s="338"/>
      <c r="P32" s="178" t="s">
        <v>148</v>
      </c>
      <c r="Q32" s="338"/>
      <c r="R32" s="338"/>
      <c r="S32" s="341"/>
      <c r="T32" s="179"/>
      <c r="U32" s="180"/>
      <c r="V32" s="181" t="str">
        <f t="shared" si="0"/>
        <v>　</v>
      </c>
      <c r="W32" s="357"/>
      <c r="X32" s="358"/>
      <c r="Y32" s="332"/>
      <c r="AB32" s="197">
        <f t="shared" si="1"/>
        <v>0</v>
      </c>
      <c r="AC32" s="198">
        <f t="shared" si="2"/>
        <v>0</v>
      </c>
      <c r="AD32" s="197"/>
      <c r="AE32" s="199">
        <v>0</v>
      </c>
    </row>
    <row r="33" spans="2:31" ht="18" customHeight="1" x14ac:dyDescent="0.2">
      <c r="B33" s="350"/>
      <c r="C33" s="351"/>
      <c r="D33" s="362"/>
      <c r="E33" s="363"/>
      <c r="F33" s="363"/>
      <c r="G33" s="364"/>
      <c r="H33" s="365"/>
      <c r="I33" s="366"/>
      <c r="J33" s="367"/>
      <c r="K33" s="368"/>
      <c r="L33" s="369"/>
      <c r="M33" s="369"/>
      <c r="N33" s="369"/>
      <c r="O33" s="369"/>
      <c r="P33" s="190" t="s">
        <v>148</v>
      </c>
      <c r="Q33" s="369"/>
      <c r="R33" s="369"/>
      <c r="S33" s="370"/>
      <c r="T33" s="191"/>
      <c r="U33" s="183"/>
      <c r="V33" s="184" t="str">
        <f t="shared" si="0"/>
        <v>　</v>
      </c>
      <c r="W33" s="359"/>
      <c r="X33" s="360"/>
      <c r="Y33" s="333"/>
      <c r="AB33" s="197">
        <f t="shared" si="1"/>
        <v>0</v>
      </c>
      <c r="AC33" s="198">
        <f t="shared" si="2"/>
        <v>0</v>
      </c>
      <c r="AD33" s="197"/>
      <c r="AE33" s="199">
        <v>0</v>
      </c>
    </row>
    <row r="34" spans="2:31" ht="18" customHeight="1" x14ac:dyDescent="0.2">
      <c r="B34" s="371"/>
      <c r="C34" s="372"/>
      <c r="D34" s="185" t="s">
        <v>169</v>
      </c>
      <c r="E34" s="373"/>
      <c r="F34" s="373"/>
      <c r="G34" s="374"/>
      <c r="H34" s="382"/>
      <c r="I34" s="383"/>
      <c r="J34" s="384"/>
      <c r="K34" s="378"/>
      <c r="L34" s="376"/>
      <c r="M34" s="376"/>
      <c r="N34" s="376"/>
      <c r="O34" s="376"/>
      <c r="P34" s="186" t="s">
        <v>148</v>
      </c>
      <c r="Q34" s="376"/>
      <c r="R34" s="376"/>
      <c r="S34" s="379"/>
      <c r="T34" s="187"/>
      <c r="U34" s="188"/>
      <c r="V34" s="189" t="str">
        <f t="shared" si="0"/>
        <v>　</v>
      </c>
      <c r="W34" s="380">
        <f>SUM(V34:V36)</f>
        <v>0</v>
      </c>
      <c r="X34" s="381"/>
      <c r="Y34" s="361"/>
      <c r="AB34" s="197">
        <f t="shared" si="1"/>
        <v>0</v>
      </c>
      <c r="AC34" s="198">
        <f t="shared" si="2"/>
        <v>0</v>
      </c>
      <c r="AD34" s="197"/>
      <c r="AE34" s="199">
        <v>0</v>
      </c>
    </row>
    <row r="35" spans="2:31" ht="18" customHeight="1" x14ac:dyDescent="0.2">
      <c r="B35" s="348"/>
      <c r="C35" s="349"/>
      <c r="D35" s="362"/>
      <c r="E35" s="363"/>
      <c r="F35" s="363"/>
      <c r="G35" s="364"/>
      <c r="H35" s="337"/>
      <c r="I35" s="338"/>
      <c r="J35" s="339"/>
      <c r="K35" s="340"/>
      <c r="L35" s="338"/>
      <c r="M35" s="338"/>
      <c r="N35" s="338"/>
      <c r="O35" s="338"/>
      <c r="P35" s="178" t="s">
        <v>148</v>
      </c>
      <c r="Q35" s="338"/>
      <c r="R35" s="338"/>
      <c r="S35" s="341"/>
      <c r="T35" s="179"/>
      <c r="U35" s="180"/>
      <c r="V35" s="181" t="str">
        <f t="shared" si="0"/>
        <v>　</v>
      </c>
      <c r="W35" s="357"/>
      <c r="X35" s="358"/>
      <c r="Y35" s="332"/>
      <c r="AB35" s="197">
        <f t="shared" si="1"/>
        <v>0</v>
      </c>
      <c r="AC35" s="198">
        <f t="shared" si="2"/>
        <v>0</v>
      </c>
      <c r="AD35" s="197"/>
      <c r="AE35" s="199">
        <v>0</v>
      </c>
    </row>
    <row r="36" spans="2:31" ht="18" customHeight="1" x14ac:dyDescent="0.2">
      <c r="B36" s="350"/>
      <c r="C36" s="351"/>
      <c r="D36" s="362"/>
      <c r="E36" s="363"/>
      <c r="F36" s="363"/>
      <c r="G36" s="364"/>
      <c r="H36" s="365"/>
      <c r="I36" s="366"/>
      <c r="J36" s="367"/>
      <c r="K36" s="368"/>
      <c r="L36" s="369"/>
      <c r="M36" s="369"/>
      <c r="N36" s="369"/>
      <c r="O36" s="369"/>
      <c r="P36" s="190" t="s">
        <v>148</v>
      </c>
      <c r="Q36" s="369"/>
      <c r="R36" s="369"/>
      <c r="S36" s="370"/>
      <c r="T36" s="191"/>
      <c r="U36" s="183"/>
      <c r="V36" s="184" t="str">
        <f t="shared" si="0"/>
        <v>　</v>
      </c>
      <c r="W36" s="359"/>
      <c r="X36" s="360"/>
      <c r="Y36" s="333"/>
      <c r="AB36" s="197">
        <f t="shared" si="1"/>
        <v>0</v>
      </c>
      <c r="AC36" s="198">
        <f t="shared" si="2"/>
        <v>0</v>
      </c>
      <c r="AD36" s="197"/>
      <c r="AE36" s="199">
        <v>0</v>
      </c>
    </row>
    <row r="37" spans="2:31" ht="18" customHeight="1" x14ac:dyDescent="0.2">
      <c r="B37" s="371"/>
      <c r="C37" s="372"/>
      <c r="D37" s="185" t="s">
        <v>169</v>
      </c>
      <c r="E37" s="373"/>
      <c r="F37" s="373"/>
      <c r="G37" s="374"/>
      <c r="H37" s="382"/>
      <c r="I37" s="383"/>
      <c r="J37" s="384"/>
      <c r="K37" s="378"/>
      <c r="L37" s="376"/>
      <c r="M37" s="376"/>
      <c r="N37" s="376"/>
      <c r="O37" s="376"/>
      <c r="P37" s="186" t="s">
        <v>148</v>
      </c>
      <c r="Q37" s="376"/>
      <c r="R37" s="376"/>
      <c r="S37" s="379"/>
      <c r="T37" s="187"/>
      <c r="U37" s="188"/>
      <c r="V37" s="189" t="str">
        <f t="shared" si="0"/>
        <v>　</v>
      </c>
      <c r="W37" s="380">
        <f>SUM(V37:V39)</f>
        <v>0</v>
      </c>
      <c r="X37" s="381"/>
      <c r="Y37" s="361"/>
      <c r="AB37" s="197">
        <f t="shared" si="1"/>
        <v>0</v>
      </c>
      <c r="AC37" s="198">
        <f t="shared" si="2"/>
        <v>0</v>
      </c>
      <c r="AD37" s="197"/>
      <c r="AE37" s="199">
        <v>0</v>
      </c>
    </row>
    <row r="38" spans="2:31" ht="18" customHeight="1" x14ac:dyDescent="0.2">
      <c r="B38" s="348"/>
      <c r="C38" s="349"/>
      <c r="D38" s="362"/>
      <c r="E38" s="363"/>
      <c r="F38" s="363"/>
      <c r="G38" s="364"/>
      <c r="H38" s="337"/>
      <c r="I38" s="338"/>
      <c r="J38" s="339"/>
      <c r="K38" s="340"/>
      <c r="L38" s="338"/>
      <c r="M38" s="338"/>
      <c r="N38" s="338"/>
      <c r="O38" s="338"/>
      <c r="P38" s="178" t="s">
        <v>148</v>
      </c>
      <c r="Q38" s="338"/>
      <c r="R38" s="338"/>
      <c r="S38" s="341"/>
      <c r="T38" s="179"/>
      <c r="U38" s="180"/>
      <c r="V38" s="181" t="str">
        <f t="shared" si="0"/>
        <v>　</v>
      </c>
      <c r="W38" s="357"/>
      <c r="X38" s="358"/>
      <c r="Y38" s="332"/>
      <c r="AB38" s="197">
        <f t="shared" si="1"/>
        <v>0</v>
      </c>
      <c r="AC38" s="198">
        <f t="shared" si="2"/>
        <v>0</v>
      </c>
      <c r="AD38" s="197"/>
      <c r="AE38" s="199">
        <v>0</v>
      </c>
    </row>
    <row r="39" spans="2:31" ht="18" customHeight="1" x14ac:dyDescent="0.2">
      <c r="B39" s="350"/>
      <c r="C39" s="351"/>
      <c r="D39" s="362"/>
      <c r="E39" s="363"/>
      <c r="F39" s="363"/>
      <c r="G39" s="364"/>
      <c r="H39" s="365"/>
      <c r="I39" s="366"/>
      <c r="J39" s="367"/>
      <c r="K39" s="368"/>
      <c r="L39" s="369"/>
      <c r="M39" s="369"/>
      <c r="N39" s="369"/>
      <c r="O39" s="369"/>
      <c r="P39" s="190" t="s">
        <v>148</v>
      </c>
      <c r="Q39" s="369"/>
      <c r="R39" s="369"/>
      <c r="S39" s="370"/>
      <c r="T39" s="191"/>
      <c r="U39" s="183"/>
      <c r="V39" s="184" t="str">
        <f t="shared" si="0"/>
        <v>　</v>
      </c>
      <c r="W39" s="359"/>
      <c r="X39" s="360"/>
      <c r="Y39" s="333"/>
      <c r="AB39" s="197">
        <f t="shared" si="1"/>
        <v>0</v>
      </c>
      <c r="AC39" s="198">
        <f t="shared" si="2"/>
        <v>0</v>
      </c>
      <c r="AD39" s="197"/>
      <c r="AE39" s="199">
        <v>0</v>
      </c>
    </row>
    <row r="40" spans="2:31" ht="18" customHeight="1" x14ac:dyDescent="0.2">
      <c r="B40" s="371"/>
      <c r="C40" s="372"/>
      <c r="D40" s="185" t="s">
        <v>169</v>
      </c>
      <c r="E40" s="373"/>
      <c r="F40" s="373"/>
      <c r="G40" s="374"/>
      <c r="H40" s="382"/>
      <c r="I40" s="383"/>
      <c r="J40" s="384"/>
      <c r="K40" s="378"/>
      <c r="L40" s="376"/>
      <c r="M40" s="376"/>
      <c r="N40" s="376"/>
      <c r="O40" s="376"/>
      <c r="P40" s="186" t="s">
        <v>148</v>
      </c>
      <c r="Q40" s="376"/>
      <c r="R40" s="376"/>
      <c r="S40" s="379"/>
      <c r="T40" s="187"/>
      <c r="U40" s="188"/>
      <c r="V40" s="189" t="str">
        <f t="shared" si="0"/>
        <v>　</v>
      </c>
      <c r="W40" s="380">
        <f>SUM(V40:V42)</f>
        <v>0</v>
      </c>
      <c r="X40" s="381"/>
      <c r="Y40" s="361"/>
      <c r="AB40" s="197">
        <f t="shared" si="1"/>
        <v>0</v>
      </c>
      <c r="AC40" s="198">
        <f t="shared" si="2"/>
        <v>0</v>
      </c>
      <c r="AD40" s="197"/>
      <c r="AE40" s="199">
        <v>0</v>
      </c>
    </row>
    <row r="41" spans="2:31" ht="18" customHeight="1" x14ac:dyDescent="0.2">
      <c r="B41" s="348"/>
      <c r="C41" s="349"/>
      <c r="D41" s="362"/>
      <c r="E41" s="363"/>
      <c r="F41" s="363"/>
      <c r="G41" s="364"/>
      <c r="H41" s="337"/>
      <c r="I41" s="338"/>
      <c r="J41" s="339"/>
      <c r="K41" s="340"/>
      <c r="L41" s="338"/>
      <c r="M41" s="338"/>
      <c r="N41" s="338"/>
      <c r="O41" s="338"/>
      <c r="P41" s="178" t="s">
        <v>148</v>
      </c>
      <c r="Q41" s="338"/>
      <c r="R41" s="338"/>
      <c r="S41" s="341"/>
      <c r="T41" s="179"/>
      <c r="U41" s="180"/>
      <c r="V41" s="181" t="str">
        <f t="shared" si="0"/>
        <v>　</v>
      </c>
      <c r="W41" s="357"/>
      <c r="X41" s="358"/>
      <c r="Y41" s="332"/>
      <c r="AB41" s="197">
        <f t="shared" si="1"/>
        <v>0</v>
      </c>
      <c r="AC41" s="198">
        <f t="shared" si="2"/>
        <v>0</v>
      </c>
      <c r="AD41" s="197"/>
      <c r="AE41" s="199">
        <v>0</v>
      </c>
    </row>
    <row r="42" spans="2:31" ht="18" customHeight="1" x14ac:dyDescent="0.2">
      <c r="B42" s="350"/>
      <c r="C42" s="351"/>
      <c r="D42" s="362"/>
      <c r="E42" s="363"/>
      <c r="F42" s="363"/>
      <c r="G42" s="364"/>
      <c r="H42" s="365"/>
      <c r="I42" s="366"/>
      <c r="J42" s="367"/>
      <c r="K42" s="368"/>
      <c r="L42" s="369"/>
      <c r="M42" s="369"/>
      <c r="N42" s="369"/>
      <c r="O42" s="369"/>
      <c r="P42" s="190" t="s">
        <v>148</v>
      </c>
      <c r="Q42" s="369"/>
      <c r="R42" s="369"/>
      <c r="S42" s="370"/>
      <c r="T42" s="191"/>
      <c r="U42" s="183"/>
      <c r="V42" s="184" t="str">
        <f t="shared" si="0"/>
        <v>　</v>
      </c>
      <c r="W42" s="359"/>
      <c r="X42" s="360"/>
      <c r="Y42" s="333"/>
      <c r="AB42" s="197">
        <f t="shared" si="1"/>
        <v>0</v>
      </c>
      <c r="AC42" s="198">
        <f t="shared" si="2"/>
        <v>0</v>
      </c>
      <c r="AD42" s="197"/>
      <c r="AE42" s="199">
        <v>0</v>
      </c>
    </row>
    <row r="43" spans="2:31" ht="18" customHeight="1" x14ac:dyDescent="0.2">
      <c r="B43" s="371"/>
      <c r="C43" s="372"/>
      <c r="D43" s="185" t="s">
        <v>169</v>
      </c>
      <c r="E43" s="373"/>
      <c r="F43" s="373"/>
      <c r="G43" s="374"/>
      <c r="H43" s="382"/>
      <c r="I43" s="383"/>
      <c r="J43" s="384"/>
      <c r="K43" s="378"/>
      <c r="L43" s="376"/>
      <c r="M43" s="376"/>
      <c r="N43" s="376"/>
      <c r="O43" s="376"/>
      <c r="P43" s="186" t="s">
        <v>148</v>
      </c>
      <c r="Q43" s="376"/>
      <c r="R43" s="376"/>
      <c r="S43" s="379"/>
      <c r="T43" s="187"/>
      <c r="U43" s="188"/>
      <c r="V43" s="189" t="str">
        <f t="shared" si="0"/>
        <v>　</v>
      </c>
      <c r="W43" s="380">
        <f>SUM(V43:V45)</f>
        <v>0</v>
      </c>
      <c r="X43" s="381"/>
      <c r="Y43" s="361"/>
      <c r="AB43" s="197">
        <f t="shared" si="1"/>
        <v>0</v>
      </c>
      <c r="AC43" s="198">
        <f t="shared" si="2"/>
        <v>0</v>
      </c>
      <c r="AD43" s="197"/>
      <c r="AE43" s="199">
        <v>0</v>
      </c>
    </row>
    <row r="44" spans="2:31" ht="18" customHeight="1" x14ac:dyDescent="0.2">
      <c r="B44" s="348"/>
      <c r="C44" s="349"/>
      <c r="D44" s="362"/>
      <c r="E44" s="363"/>
      <c r="F44" s="363"/>
      <c r="G44" s="364"/>
      <c r="H44" s="337"/>
      <c r="I44" s="338"/>
      <c r="J44" s="339"/>
      <c r="K44" s="340"/>
      <c r="L44" s="338"/>
      <c r="M44" s="338"/>
      <c r="N44" s="338"/>
      <c r="O44" s="338"/>
      <c r="P44" s="178" t="s">
        <v>148</v>
      </c>
      <c r="Q44" s="338"/>
      <c r="R44" s="338"/>
      <c r="S44" s="341"/>
      <c r="T44" s="179"/>
      <c r="U44" s="180"/>
      <c r="V44" s="181" t="str">
        <f t="shared" si="0"/>
        <v>　</v>
      </c>
      <c r="W44" s="357"/>
      <c r="X44" s="358"/>
      <c r="Y44" s="332"/>
      <c r="AB44" s="197">
        <f t="shared" si="1"/>
        <v>0</v>
      </c>
      <c r="AC44" s="198">
        <f t="shared" si="2"/>
        <v>0</v>
      </c>
      <c r="AD44" s="197"/>
      <c r="AE44" s="199">
        <v>0</v>
      </c>
    </row>
    <row r="45" spans="2:31" ht="18" customHeight="1" x14ac:dyDescent="0.2">
      <c r="B45" s="350"/>
      <c r="C45" s="351"/>
      <c r="D45" s="362"/>
      <c r="E45" s="363"/>
      <c r="F45" s="363"/>
      <c r="G45" s="364"/>
      <c r="H45" s="365"/>
      <c r="I45" s="366"/>
      <c r="J45" s="367"/>
      <c r="K45" s="368"/>
      <c r="L45" s="369"/>
      <c r="M45" s="369"/>
      <c r="N45" s="369"/>
      <c r="O45" s="369"/>
      <c r="P45" s="190" t="s">
        <v>148</v>
      </c>
      <c r="Q45" s="369"/>
      <c r="R45" s="369"/>
      <c r="S45" s="370"/>
      <c r="T45" s="191"/>
      <c r="U45" s="183"/>
      <c r="V45" s="184" t="str">
        <f t="shared" si="0"/>
        <v>　</v>
      </c>
      <c r="W45" s="359"/>
      <c r="X45" s="360"/>
      <c r="Y45" s="333"/>
      <c r="AB45" s="197">
        <f t="shared" si="1"/>
        <v>0</v>
      </c>
      <c r="AC45" s="198">
        <f t="shared" si="2"/>
        <v>0</v>
      </c>
      <c r="AD45" s="197"/>
      <c r="AE45" s="199">
        <v>0</v>
      </c>
    </row>
    <row r="46" spans="2:31" ht="18" customHeight="1" x14ac:dyDescent="0.2">
      <c r="B46" s="371"/>
      <c r="C46" s="372"/>
      <c r="D46" s="185" t="s">
        <v>169</v>
      </c>
      <c r="E46" s="373"/>
      <c r="F46" s="373"/>
      <c r="G46" s="374"/>
      <c r="H46" s="382"/>
      <c r="I46" s="383"/>
      <c r="J46" s="384"/>
      <c r="K46" s="378"/>
      <c r="L46" s="376"/>
      <c r="M46" s="376"/>
      <c r="N46" s="376"/>
      <c r="O46" s="376"/>
      <c r="P46" s="186" t="s">
        <v>148</v>
      </c>
      <c r="Q46" s="376"/>
      <c r="R46" s="376"/>
      <c r="S46" s="379"/>
      <c r="T46" s="187"/>
      <c r="U46" s="188"/>
      <c r="V46" s="192" t="str">
        <f t="shared" si="0"/>
        <v>　</v>
      </c>
      <c r="W46" s="380">
        <f>SUM(V46:V48)</f>
        <v>0</v>
      </c>
      <c r="X46" s="381"/>
      <c r="Y46" s="361"/>
      <c r="AB46" s="197">
        <f t="shared" si="1"/>
        <v>0</v>
      </c>
      <c r="AC46" s="198">
        <f t="shared" si="2"/>
        <v>0</v>
      </c>
      <c r="AD46" s="197"/>
      <c r="AE46" s="199">
        <v>0</v>
      </c>
    </row>
    <row r="47" spans="2:31" ht="18" customHeight="1" x14ac:dyDescent="0.2">
      <c r="B47" s="348"/>
      <c r="C47" s="349"/>
      <c r="D47" s="362"/>
      <c r="E47" s="363"/>
      <c r="F47" s="363"/>
      <c r="G47" s="364"/>
      <c r="H47" s="337"/>
      <c r="I47" s="338"/>
      <c r="J47" s="339"/>
      <c r="K47" s="340"/>
      <c r="L47" s="338"/>
      <c r="M47" s="338"/>
      <c r="N47" s="338"/>
      <c r="O47" s="338"/>
      <c r="P47" s="178" t="s">
        <v>148</v>
      </c>
      <c r="Q47" s="338"/>
      <c r="R47" s="338"/>
      <c r="S47" s="341"/>
      <c r="T47" s="179"/>
      <c r="U47" s="180"/>
      <c r="V47" s="181" t="str">
        <f t="shared" si="0"/>
        <v>　</v>
      </c>
      <c r="W47" s="357"/>
      <c r="X47" s="358"/>
      <c r="Y47" s="332"/>
      <c r="AB47" s="197">
        <f t="shared" si="1"/>
        <v>0</v>
      </c>
      <c r="AC47" s="198">
        <f t="shared" si="2"/>
        <v>0</v>
      </c>
      <c r="AD47" s="197"/>
      <c r="AE47" s="199">
        <v>0</v>
      </c>
    </row>
    <row r="48" spans="2:31" ht="18" customHeight="1" thickBot="1" x14ac:dyDescent="0.25">
      <c r="B48" s="348"/>
      <c r="C48" s="349"/>
      <c r="D48" s="391"/>
      <c r="E48" s="392"/>
      <c r="F48" s="392"/>
      <c r="G48" s="393"/>
      <c r="H48" s="342"/>
      <c r="I48" s="343"/>
      <c r="J48" s="344"/>
      <c r="K48" s="368"/>
      <c r="L48" s="369"/>
      <c r="M48" s="369"/>
      <c r="N48" s="369"/>
      <c r="O48" s="369"/>
      <c r="P48" s="190" t="s">
        <v>148</v>
      </c>
      <c r="Q48" s="369"/>
      <c r="R48" s="369"/>
      <c r="S48" s="370"/>
      <c r="T48" s="193"/>
      <c r="U48" s="194"/>
      <c r="V48" s="192" t="str">
        <f t="shared" si="0"/>
        <v>　</v>
      </c>
      <c r="W48" s="357"/>
      <c r="X48" s="358"/>
      <c r="Y48" s="332"/>
      <c r="AB48" s="197">
        <f t="shared" si="1"/>
        <v>0</v>
      </c>
      <c r="AC48" s="198">
        <f t="shared" si="2"/>
        <v>0</v>
      </c>
      <c r="AD48" s="197"/>
      <c r="AE48" s="199">
        <v>0</v>
      </c>
    </row>
    <row r="49" spans="2:25" ht="21.6" customHeight="1" thickBot="1" x14ac:dyDescent="0.25">
      <c r="B49" s="385" t="s">
        <v>170</v>
      </c>
      <c r="C49" s="386"/>
      <c r="D49" s="386"/>
      <c r="E49" s="386"/>
      <c r="F49" s="386"/>
      <c r="G49" s="386"/>
      <c r="H49" s="386"/>
      <c r="I49" s="386"/>
      <c r="J49" s="386"/>
      <c r="K49" s="386"/>
      <c r="L49" s="386"/>
      <c r="M49" s="386"/>
      <c r="N49" s="386"/>
      <c r="O49" s="386"/>
      <c r="P49" s="386"/>
      <c r="Q49" s="386"/>
      <c r="R49" s="386"/>
      <c r="S49" s="386"/>
      <c r="T49" s="386"/>
      <c r="U49" s="386"/>
      <c r="V49" s="386"/>
      <c r="W49" s="387">
        <f>SUM(W13:X48)</f>
        <v>0</v>
      </c>
      <c r="X49" s="388"/>
      <c r="Y49" s="195">
        <f>SUM(Y13:Y48)</f>
        <v>0</v>
      </c>
    </row>
    <row r="50" spans="2:25" ht="6.6" customHeight="1" x14ac:dyDescent="0.2"/>
    <row r="51" spans="2:25" ht="16.2" x14ac:dyDescent="0.2">
      <c r="B51" s="389" t="s">
        <v>171</v>
      </c>
      <c r="C51" s="389"/>
      <c r="D51" s="389"/>
      <c r="E51" s="389"/>
      <c r="F51" s="389"/>
      <c r="G51" s="389"/>
      <c r="H51" s="389"/>
      <c r="I51" s="389"/>
      <c r="J51" s="389"/>
      <c r="K51" s="389"/>
      <c r="L51" s="389"/>
      <c r="M51" s="389"/>
      <c r="N51" s="389"/>
      <c r="O51" s="389"/>
      <c r="P51" s="389"/>
      <c r="Q51" s="389"/>
      <c r="R51" s="389"/>
      <c r="S51" s="389"/>
      <c r="T51" s="389"/>
      <c r="U51" s="389"/>
      <c r="V51" s="389"/>
      <c r="W51" s="389"/>
      <c r="X51" s="389"/>
      <c r="Y51" s="389"/>
    </row>
  </sheetData>
  <sheetProtection sheet="1" objects="1" scenarios="1"/>
  <mergeCells count="196">
    <mergeCell ref="B49:V49"/>
    <mergeCell ref="W49:X49"/>
    <mergeCell ref="B51:Y51"/>
    <mergeCell ref="AB11:AE11"/>
    <mergeCell ref="Y46:Y48"/>
    <mergeCell ref="D47:G48"/>
    <mergeCell ref="H47:J47"/>
    <mergeCell ref="K47:O47"/>
    <mergeCell ref="Q47:S47"/>
    <mergeCell ref="H48:J48"/>
    <mergeCell ref="K48:O48"/>
    <mergeCell ref="Q48:S48"/>
    <mergeCell ref="B46:C48"/>
    <mergeCell ref="E46:G46"/>
    <mergeCell ref="H46:J46"/>
    <mergeCell ref="K46:O46"/>
    <mergeCell ref="Q46:S46"/>
    <mergeCell ref="W46:X48"/>
    <mergeCell ref="Y43:Y45"/>
    <mergeCell ref="D44:G45"/>
    <mergeCell ref="H44:J44"/>
    <mergeCell ref="K44:O44"/>
    <mergeCell ref="Q44:S44"/>
    <mergeCell ref="H45:J45"/>
    <mergeCell ref="K45:O45"/>
    <mergeCell ref="Q45:S45"/>
    <mergeCell ref="B43:C45"/>
    <mergeCell ref="E43:G43"/>
    <mergeCell ref="H43:J43"/>
    <mergeCell ref="K43:O43"/>
    <mergeCell ref="Q43:S43"/>
    <mergeCell ref="W43:X45"/>
    <mergeCell ref="Y40:Y42"/>
    <mergeCell ref="D41:G42"/>
    <mergeCell ref="H41:J41"/>
    <mergeCell ref="K41:O41"/>
    <mergeCell ref="Q41:S41"/>
    <mergeCell ref="H42:J42"/>
    <mergeCell ref="K42:O42"/>
    <mergeCell ref="Q42:S42"/>
    <mergeCell ref="B40:C42"/>
    <mergeCell ref="E40:G40"/>
    <mergeCell ref="H40:J40"/>
    <mergeCell ref="K40:O40"/>
    <mergeCell ref="Q40:S40"/>
    <mergeCell ref="W40:X42"/>
    <mergeCell ref="Y37:Y39"/>
    <mergeCell ref="D38:G39"/>
    <mergeCell ref="H38:J38"/>
    <mergeCell ref="K38:O38"/>
    <mergeCell ref="Q38:S38"/>
    <mergeCell ref="H39:J39"/>
    <mergeCell ref="K39:O39"/>
    <mergeCell ref="Q39:S39"/>
    <mergeCell ref="B37:C39"/>
    <mergeCell ref="E37:G37"/>
    <mergeCell ref="H37:J37"/>
    <mergeCell ref="K37:O37"/>
    <mergeCell ref="Q37:S37"/>
    <mergeCell ref="W37:X39"/>
    <mergeCell ref="Y34:Y36"/>
    <mergeCell ref="D35:G36"/>
    <mergeCell ref="H35:J35"/>
    <mergeCell ref="K35:O35"/>
    <mergeCell ref="Q35:S35"/>
    <mergeCell ref="H36:J36"/>
    <mergeCell ref="K36:O36"/>
    <mergeCell ref="Q36:S36"/>
    <mergeCell ref="B34:C36"/>
    <mergeCell ref="E34:G34"/>
    <mergeCell ref="H34:J34"/>
    <mergeCell ref="K34:O34"/>
    <mergeCell ref="Q34:S34"/>
    <mergeCell ref="W34:X36"/>
    <mergeCell ref="Y31:Y33"/>
    <mergeCell ref="D32:G33"/>
    <mergeCell ref="H32:J32"/>
    <mergeCell ref="K32:O32"/>
    <mergeCell ref="Q32:S32"/>
    <mergeCell ref="H33:J33"/>
    <mergeCell ref="K33:O33"/>
    <mergeCell ref="Q33:S33"/>
    <mergeCell ref="B31:C33"/>
    <mergeCell ref="E31:G31"/>
    <mergeCell ref="H31:J31"/>
    <mergeCell ref="K31:O31"/>
    <mergeCell ref="Q31:S31"/>
    <mergeCell ref="W31:X33"/>
    <mergeCell ref="Y28:Y30"/>
    <mergeCell ref="D29:G30"/>
    <mergeCell ref="H29:J29"/>
    <mergeCell ref="K29:O29"/>
    <mergeCell ref="Q29:S29"/>
    <mergeCell ref="H30:J30"/>
    <mergeCell ref="K30:O30"/>
    <mergeCell ref="Q30:S30"/>
    <mergeCell ref="B28:C30"/>
    <mergeCell ref="E28:G28"/>
    <mergeCell ref="H28:J28"/>
    <mergeCell ref="K28:O28"/>
    <mergeCell ref="Q28:S28"/>
    <mergeCell ref="W28:X30"/>
    <mergeCell ref="Y25:Y27"/>
    <mergeCell ref="D26:G27"/>
    <mergeCell ref="H26:J26"/>
    <mergeCell ref="K26:O26"/>
    <mergeCell ref="Q26:S26"/>
    <mergeCell ref="H27:J27"/>
    <mergeCell ref="K27:O27"/>
    <mergeCell ref="Q27:S27"/>
    <mergeCell ref="B25:C27"/>
    <mergeCell ref="E25:G25"/>
    <mergeCell ref="H25:J25"/>
    <mergeCell ref="K25:O25"/>
    <mergeCell ref="Q25:S25"/>
    <mergeCell ref="W25:X27"/>
    <mergeCell ref="Y22:Y24"/>
    <mergeCell ref="D23:G24"/>
    <mergeCell ref="H23:J23"/>
    <mergeCell ref="K23:O23"/>
    <mergeCell ref="Q23:S23"/>
    <mergeCell ref="H24:J24"/>
    <mergeCell ref="K24:O24"/>
    <mergeCell ref="Q24:S24"/>
    <mergeCell ref="B22:C24"/>
    <mergeCell ref="E22:G22"/>
    <mergeCell ref="H22:J22"/>
    <mergeCell ref="K22:O22"/>
    <mergeCell ref="Q22:S22"/>
    <mergeCell ref="W22:X24"/>
    <mergeCell ref="Y19:Y21"/>
    <mergeCell ref="D20:G21"/>
    <mergeCell ref="H20:J20"/>
    <mergeCell ref="K20:O20"/>
    <mergeCell ref="Q20:S20"/>
    <mergeCell ref="H21:J21"/>
    <mergeCell ref="K21:O21"/>
    <mergeCell ref="Q21:S21"/>
    <mergeCell ref="B19:C21"/>
    <mergeCell ref="E19:G19"/>
    <mergeCell ref="H19:J19"/>
    <mergeCell ref="K19:O19"/>
    <mergeCell ref="Q19:S19"/>
    <mergeCell ref="W19:X21"/>
    <mergeCell ref="Y16:Y18"/>
    <mergeCell ref="D17:G18"/>
    <mergeCell ref="H17:J17"/>
    <mergeCell ref="K17:O17"/>
    <mergeCell ref="Q17:S17"/>
    <mergeCell ref="H18:J18"/>
    <mergeCell ref="K18:O18"/>
    <mergeCell ref="Q18:S18"/>
    <mergeCell ref="B16:C18"/>
    <mergeCell ref="E16:G16"/>
    <mergeCell ref="H16:J16"/>
    <mergeCell ref="K16:O16"/>
    <mergeCell ref="Q16:S16"/>
    <mergeCell ref="W16:X18"/>
    <mergeCell ref="Y13:Y15"/>
    <mergeCell ref="D14:G15"/>
    <mergeCell ref="H14:J14"/>
    <mergeCell ref="K14:O14"/>
    <mergeCell ref="Q14:S14"/>
    <mergeCell ref="H15:J15"/>
    <mergeCell ref="K15:O15"/>
    <mergeCell ref="Q15:S15"/>
    <mergeCell ref="B13:C15"/>
    <mergeCell ref="E13:G13"/>
    <mergeCell ref="H13:J13"/>
    <mergeCell ref="K13:O13"/>
    <mergeCell ref="Q13:S13"/>
    <mergeCell ref="W13:X15"/>
    <mergeCell ref="B11:C12"/>
    <mergeCell ref="D11:G12"/>
    <mergeCell ref="H11:S11"/>
    <mergeCell ref="V11:V12"/>
    <mergeCell ref="W11:X12"/>
    <mergeCell ref="Y11:Y12"/>
    <mergeCell ref="H12:J12"/>
    <mergeCell ref="K12:S12"/>
    <mergeCell ref="B7:E7"/>
    <mergeCell ref="F7:M7"/>
    <mergeCell ref="B9:E9"/>
    <mergeCell ref="F9:M9"/>
    <mergeCell ref="R9:S9"/>
    <mergeCell ref="T9:Y9"/>
    <mergeCell ref="B2:Y2"/>
    <mergeCell ref="R4:S4"/>
    <mergeCell ref="T4:U4"/>
    <mergeCell ref="V4:W4"/>
    <mergeCell ref="X4:Y4"/>
    <mergeCell ref="B5:C5"/>
    <mergeCell ref="R5:S7"/>
    <mergeCell ref="T5:U7"/>
    <mergeCell ref="V5:W7"/>
    <mergeCell ref="X5:Y7"/>
  </mergeCells>
  <phoneticPr fontId="3"/>
  <dataValidations count="1">
    <dataValidation type="list" allowBlank="1" showInputMessage="1" showErrorMessage="1" sqref="U13:U48" xr:uid="{012FFAF2-3E47-4C24-8947-C278D7C26DE3}">
      <formula1>"片道,往復"</formula1>
    </dataValidation>
  </dataValidations>
  <printOptions horizontalCentered="1" verticalCentered="1"/>
  <pageMargins left="0.11811023622047245" right="0.11811023622047245" top="0.15748031496062992" bottom="0.15748031496062992" header="0.31496062992125984" footer="0.31496062992125984"/>
  <pageSetup paperSize="9" scale="85" fitToWidth="0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C87A2-5415-460F-B80B-5F266E1A419B}">
  <dimension ref="B2:AE51"/>
  <sheetViews>
    <sheetView view="pageBreakPreview" zoomScaleNormal="175" zoomScaleSheetLayoutView="100" workbookViewId="0"/>
  </sheetViews>
  <sheetFormatPr defaultRowHeight="13.2" x14ac:dyDescent="0.2"/>
  <cols>
    <col min="1" max="1" width="1.109375" style="160" customWidth="1"/>
    <col min="2" max="2" width="5.21875" style="160" customWidth="1"/>
    <col min="3" max="3" width="1.88671875" style="160" customWidth="1"/>
    <col min="4" max="4" width="4.33203125" style="160" customWidth="1"/>
    <col min="5" max="5" width="3.77734375" style="160" customWidth="1"/>
    <col min="6" max="6" width="3.44140625" style="160" customWidth="1"/>
    <col min="7" max="8" width="3.5546875" style="160" customWidth="1"/>
    <col min="9" max="9" width="3.77734375" style="160" customWidth="1"/>
    <col min="10" max="11" width="3.44140625" style="160" customWidth="1"/>
    <col min="12" max="13" width="3.5546875" style="160" customWidth="1"/>
    <col min="14" max="14" width="2.77734375" style="160" customWidth="1"/>
    <col min="15" max="15" width="4.77734375" style="160" customWidth="1"/>
    <col min="16" max="16" width="3" style="160" customWidth="1"/>
    <col min="17" max="17" width="5.5546875" style="160" customWidth="1"/>
    <col min="18" max="18" width="6.33203125" style="160" customWidth="1"/>
    <col min="19" max="19" width="6.21875" style="160" customWidth="1"/>
    <col min="20" max="20" width="6.5546875" style="160" customWidth="1"/>
    <col min="21" max="21" width="6" style="160" customWidth="1"/>
    <col min="22" max="22" width="6.88671875" style="160" customWidth="1"/>
    <col min="23" max="23" width="5.6640625" style="160" customWidth="1"/>
    <col min="24" max="24" width="3.21875" style="160" customWidth="1"/>
    <col min="25" max="25" width="9.33203125" style="160" customWidth="1"/>
    <col min="26" max="26" width="1.109375" style="160" customWidth="1"/>
    <col min="27" max="27" width="8.88671875" style="160"/>
    <col min="28" max="31" width="0" style="160" hidden="1" customWidth="1"/>
    <col min="32" max="16384" width="8.88671875" style="160"/>
  </cols>
  <sheetData>
    <row r="2" spans="2:31" ht="25.8" customHeight="1" x14ac:dyDescent="0.2">
      <c r="B2" s="299" t="s">
        <v>139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</row>
    <row r="4" spans="2:31" x14ac:dyDescent="0.2">
      <c r="R4" s="301" t="s">
        <v>140</v>
      </c>
      <c r="S4" s="302"/>
      <c r="T4" s="301" t="s">
        <v>141</v>
      </c>
      <c r="U4" s="302"/>
      <c r="V4" s="301" t="s">
        <v>142</v>
      </c>
      <c r="W4" s="302"/>
      <c r="X4" s="301" t="s">
        <v>143</v>
      </c>
      <c r="Y4" s="302"/>
    </row>
    <row r="5" spans="2:31" ht="18" customHeight="1" x14ac:dyDescent="0.2">
      <c r="B5" s="303" t="s">
        <v>144</v>
      </c>
      <c r="C5" s="303"/>
      <c r="D5" s="161">
        <f>作業報告書!D1</f>
        <v>4</v>
      </c>
      <c r="E5" s="162" t="s">
        <v>145</v>
      </c>
      <c r="F5" s="163">
        <f>DATE(2018+作業報告書!D1,作業報告書!F1,1)</f>
        <v>44682</v>
      </c>
      <c r="G5" s="162" t="s">
        <v>146</v>
      </c>
      <c r="H5" s="161">
        <v>1</v>
      </c>
      <c r="I5" s="162" t="s">
        <v>147</v>
      </c>
      <c r="J5" s="162" t="s">
        <v>148</v>
      </c>
      <c r="K5" s="161">
        <f>作業報告書!F1</f>
        <v>5</v>
      </c>
      <c r="L5" s="162" t="s">
        <v>149</v>
      </c>
      <c r="M5" s="164">
        <f>EOMONTH(F5,0)</f>
        <v>44712</v>
      </c>
      <c r="N5" s="162" t="s">
        <v>147</v>
      </c>
      <c r="O5" s="165"/>
      <c r="R5" s="304"/>
      <c r="S5" s="305"/>
      <c r="T5" s="304"/>
      <c r="U5" s="305"/>
      <c r="V5" s="304"/>
      <c r="W5" s="305"/>
      <c r="X5" s="304"/>
      <c r="Y5" s="305"/>
    </row>
    <row r="6" spans="2:31" x14ac:dyDescent="0.2">
      <c r="R6" s="306"/>
      <c r="S6" s="307"/>
      <c r="T6" s="306"/>
      <c r="U6" s="307"/>
      <c r="V6" s="306"/>
      <c r="W6" s="307"/>
      <c r="X6" s="306"/>
      <c r="Y6" s="307"/>
    </row>
    <row r="7" spans="2:31" ht="27" customHeight="1" x14ac:dyDescent="0.2">
      <c r="B7" s="328" t="s">
        <v>150</v>
      </c>
      <c r="C7" s="328"/>
      <c r="D7" s="328"/>
      <c r="E7" s="328"/>
      <c r="F7" s="329" t="s">
        <v>151</v>
      </c>
      <c r="G7" s="329"/>
      <c r="H7" s="329"/>
      <c r="I7" s="329"/>
      <c r="J7" s="329"/>
      <c r="K7" s="329"/>
      <c r="L7" s="329"/>
      <c r="M7" s="329"/>
      <c r="N7" s="162" t="s">
        <v>152</v>
      </c>
      <c r="O7" s="166"/>
      <c r="R7" s="308"/>
      <c r="S7" s="309"/>
      <c r="T7" s="308"/>
      <c r="U7" s="309"/>
      <c r="V7" s="308"/>
      <c r="W7" s="309"/>
      <c r="X7" s="308"/>
      <c r="Y7" s="309"/>
    </row>
    <row r="8" spans="2:31" x14ac:dyDescent="0.2">
      <c r="B8" s="167"/>
      <c r="C8" s="167"/>
      <c r="D8" s="167"/>
      <c r="E8" s="167"/>
      <c r="N8" s="167"/>
      <c r="O8" s="167"/>
      <c r="AA8" s="160" t="s">
        <v>153</v>
      </c>
    </row>
    <row r="9" spans="2:31" ht="27" customHeight="1" thickBot="1" x14ac:dyDescent="0.25">
      <c r="B9" s="328" t="s">
        <v>154</v>
      </c>
      <c r="C9" s="328"/>
      <c r="D9" s="328"/>
      <c r="E9" s="328"/>
      <c r="F9" s="329" t="str">
        <f>作業報告書!AA3</f>
        <v>日隈 友也</v>
      </c>
      <c r="G9" s="329"/>
      <c r="H9" s="329"/>
      <c r="I9" s="329"/>
      <c r="J9" s="329"/>
      <c r="K9" s="329"/>
      <c r="L9" s="329"/>
      <c r="M9" s="329"/>
      <c r="N9" s="168" t="s">
        <v>152</v>
      </c>
      <c r="O9" s="166"/>
      <c r="R9" s="330" t="s">
        <v>155</v>
      </c>
      <c r="S9" s="330"/>
      <c r="T9" s="331">
        <f>W49+Y49</f>
        <v>0</v>
      </c>
      <c r="U9" s="331"/>
      <c r="V9" s="331"/>
      <c r="W9" s="331"/>
      <c r="X9" s="331"/>
      <c r="Y9" s="331"/>
      <c r="AA9" s="160" t="s">
        <v>156</v>
      </c>
    </row>
    <row r="10" spans="2:31" ht="18" customHeight="1" thickBot="1" x14ac:dyDescent="0.25"/>
    <row r="11" spans="2:31" ht="18" customHeight="1" x14ac:dyDescent="0.2">
      <c r="B11" s="310" t="s">
        <v>157</v>
      </c>
      <c r="C11" s="311"/>
      <c r="D11" s="314" t="s">
        <v>158</v>
      </c>
      <c r="E11" s="311"/>
      <c r="F11" s="311"/>
      <c r="G11" s="315"/>
      <c r="H11" s="318" t="s">
        <v>159</v>
      </c>
      <c r="I11" s="318"/>
      <c r="J11" s="318"/>
      <c r="K11" s="318"/>
      <c r="L11" s="318"/>
      <c r="M11" s="318"/>
      <c r="N11" s="318"/>
      <c r="O11" s="318"/>
      <c r="P11" s="318"/>
      <c r="Q11" s="318"/>
      <c r="R11" s="318"/>
      <c r="S11" s="318"/>
      <c r="T11" s="169" t="s">
        <v>160</v>
      </c>
      <c r="U11" s="170" t="s">
        <v>161</v>
      </c>
      <c r="V11" s="319" t="s">
        <v>162</v>
      </c>
      <c r="W11" s="321" t="s">
        <v>163</v>
      </c>
      <c r="X11" s="322"/>
      <c r="Y11" s="325" t="s">
        <v>164</v>
      </c>
      <c r="AB11" s="390" t="s">
        <v>172</v>
      </c>
      <c r="AC11" s="390"/>
      <c r="AD11" s="390"/>
      <c r="AE11" s="390"/>
    </row>
    <row r="12" spans="2:31" ht="18" customHeight="1" thickBot="1" x14ac:dyDescent="0.2">
      <c r="B12" s="312"/>
      <c r="C12" s="313"/>
      <c r="D12" s="316"/>
      <c r="E12" s="313"/>
      <c r="F12" s="313"/>
      <c r="G12" s="317"/>
      <c r="H12" s="313" t="s">
        <v>165</v>
      </c>
      <c r="I12" s="313"/>
      <c r="J12" s="313"/>
      <c r="K12" s="327" t="s">
        <v>166</v>
      </c>
      <c r="L12" s="313"/>
      <c r="M12" s="313"/>
      <c r="N12" s="313"/>
      <c r="O12" s="313"/>
      <c r="P12" s="313"/>
      <c r="Q12" s="313"/>
      <c r="R12" s="313"/>
      <c r="S12" s="313"/>
      <c r="T12" s="171" t="s">
        <v>167</v>
      </c>
      <c r="U12" s="172" t="s">
        <v>168</v>
      </c>
      <c r="V12" s="320"/>
      <c r="W12" s="323"/>
      <c r="X12" s="324"/>
      <c r="Y12" s="326"/>
      <c r="AB12" s="197" t="s">
        <v>173</v>
      </c>
      <c r="AC12" s="197" t="s">
        <v>174</v>
      </c>
      <c r="AD12" s="197" t="s">
        <v>175</v>
      </c>
      <c r="AE12" s="197" t="s">
        <v>176</v>
      </c>
    </row>
    <row r="13" spans="2:31" ht="18" customHeight="1" x14ac:dyDescent="0.2">
      <c r="B13" s="348"/>
      <c r="C13" s="349"/>
      <c r="D13" s="173" t="s">
        <v>169</v>
      </c>
      <c r="E13" s="352"/>
      <c r="F13" s="352"/>
      <c r="G13" s="353"/>
      <c r="H13" s="342"/>
      <c r="I13" s="343"/>
      <c r="J13" s="344"/>
      <c r="K13" s="354"/>
      <c r="L13" s="355"/>
      <c r="M13" s="355"/>
      <c r="N13" s="355"/>
      <c r="O13" s="355"/>
      <c r="P13" s="174" t="s">
        <v>148</v>
      </c>
      <c r="Q13" s="355"/>
      <c r="R13" s="355"/>
      <c r="S13" s="356"/>
      <c r="T13" s="175"/>
      <c r="U13" s="176"/>
      <c r="V13" s="177" t="str">
        <f t="shared" ref="V13:V48" si="0">IF(U13="片道",T13,IF(U13="往復",T13*2,"　"))</f>
        <v>　</v>
      </c>
      <c r="W13" s="357">
        <f>SUM(V13:V16)</f>
        <v>0</v>
      </c>
      <c r="X13" s="358"/>
      <c r="Y13" s="332"/>
      <c r="AB13" s="197">
        <f>E13</f>
        <v>0</v>
      </c>
      <c r="AC13" s="198">
        <f>W13+Y13</f>
        <v>0</v>
      </c>
      <c r="AD13" s="197" cm="1">
        <f t="array" ref="AD13">_xlfn.UNIQUE(E13:E46,FALSE,FALSE)</f>
        <v>0</v>
      </c>
      <c r="AE13" s="199" cm="1">
        <f t="array" ref="AE13:AE48">SUMIF(AB13:AB48,AD13:AD48,AC13:AC48)</f>
        <v>0</v>
      </c>
    </row>
    <row r="14" spans="2:31" ht="18" customHeight="1" x14ac:dyDescent="0.2">
      <c r="B14" s="348"/>
      <c r="C14" s="349"/>
      <c r="D14" s="334"/>
      <c r="E14" s="335"/>
      <c r="F14" s="335"/>
      <c r="G14" s="336"/>
      <c r="H14" s="337"/>
      <c r="I14" s="338"/>
      <c r="J14" s="339"/>
      <c r="K14" s="340"/>
      <c r="L14" s="338"/>
      <c r="M14" s="338"/>
      <c r="N14" s="338"/>
      <c r="O14" s="338"/>
      <c r="P14" s="178" t="s">
        <v>148</v>
      </c>
      <c r="Q14" s="338"/>
      <c r="R14" s="338"/>
      <c r="S14" s="341"/>
      <c r="T14" s="179"/>
      <c r="U14" s="180"/>
      <c r="V14" s="181" t="str">
        <f t="shared" si="0"/>
        <v>　</v>
      </c>
      <c r="W14" s="357"/>
      <c r="X14" s="358"/>
      <c r="Y14" s="332"/>
      <c r="AB14" s="197">
        <f t="shared" ref="AB14:AB48" si="1">E14</f>
        <v>0</v>
      </c>
      <c r="AC14" s="198">
        <f t="shared" ref="AC14:AC48" si="2">W14+Y14</f>
        <v>0</v>
      </c>
      <c r="AD14" s="197"/>
      <c r="AE14" s="199">
        <v>0</v>
      </c>
    </row>
    <row r="15" spans="2:31" ht="18" customHeight="1" x14ac:dyDescent="0.2">
      <c r="B15" s="348"/>
      <c r="C15" s="349"/>
      <c r="D15" s="334"/>
      <c r="E15" s="335"/>
      <c r="F15" s="335"/>
      <c r="G15" s="336"/>
      <c r="H15" s="337"/>
      <c r="I15" s="338"/>
      <c r="J15" s="339"/>
      <c r="K15" s="340"/>
      <c r="L15" s="338"/>
      <c r="M15" s="338"/>
      <c r="N15" s="338"/>
      <c r="O15" s="338"/>
      <c r="P15" s="178" t="s">
        <v>148</v>
      </c>
      <c r="Q15" s="338"/>
      <c r="R15" s="338"/>
      <c r="S15" s="341"/>
      <c r="T15" s="179"/>
      <c r="U15" s="180"/>
      <c r="V15" s="181" t="str">
        <f t="shared" si="0"/>
        <v>　</v>
      </c>
      <c r="W15" s="357"/>
      <c r="X15" s="358"/>
      <c r="Y15" s="332"/>
      <c r="AB15" s="197">
        <f t="shared" si="1"/>
        <v>0</v>
      </c>
      <c r="AC15" s="198">
        <f t="shared" si="2"/>
        <v>0</v>
      </c>
      <c r="AD15" s="197"/>
      <c r="AE15" s="199">
        <v>0</v>
      </c>
    </row>
    <row r="16" spans="2:31" ht="18" customHeight="1" x14ac:dyDescent="0.2">
      <c r="B16" s="350"/>
      <c r="C16" s="351"/>
      <c r="D16" s="334"/>
      <c r="E16" s="335"/>
      <c r="F16" s="335"/>
      <c r="G16" s="336"/>
      <c r="H16" s="342"/>
      <c r="I16" s="343"/>
      <c r="J16" s="344"/>
      <c r="K16" s="395"/>
      <c r="L16" s="343"/>
      <c r="M16" s="343"/>
      <c r="N16" s="343"/>
      <c r="O16" s="343"/>
      <c r="P16" s="174" t="s">
        <v>148</v>
      </c>
      <c r="Q16" s="343"/>
      <c r="R16" s="343"/>
      <c r="S16" s="394"/>
      <c r="T16" s="175"/>
      <c r="U16" s="183"/>
      <c r="V16" s="184" t="str">
        <f t="shared" si="0"/>
        <v>　</v>
      </c>
      <c r="W16" s="359"/>
      <c r="X16" s="360"/>
      <c r="Y16" s="333"/>
      <c r="AB16" s="197">
        <f t="shared" si="1"/>
        <v>0</v>
      </c>
      <c r="AC16" s="198">
        <f t="shared" si="2"/>
        <v>0</v>
      </c>
      <c r="AD16" s="197"/>
      <c r="AE16" s="199">
        <v>0</v>
      </c>
    </row>
    <row r="17" spans="2:31" ht="18" customHeight="1" x14ac:dyDescent="0.2">
      <c r="B17" s="371"/>
      <c r="C17" s="372"/>
      <c r="D17" s="185" t="s">
        <v>169</v>
      </c>
      <c r="E17" s="373"/>
      <c r="F17" s="373"/>
      <c r="G17" s="374"/>
      <c r="H17" s="375"/>
      <c r="I17" s="376"/>
      <c r="J17" s="377"/>
      <c r="K17" s="378"/>
      <c r="L17" s="376"/>
      <c r="M17" s="376"/>
      <c r="N17" s="376"/>
      <c r="O17" s="376"/>
      <c r="P17" s="186" t="s">
        <v>148</v>
      </c>
      <c r="Q17" s="376"/>
      <c r="R17" s="376"/>
      <c r="S17" s="379"/>
      <c r="T17" s="187"/>
      <c r="U17" s="188"/>
      <c r="V17" s="189" t="str">
        <f t="shared" si="0"/>
        <v>　</v>
      </c>
      <c r="W17" s="380">
        <f>SUM(V17:V20)</f>
        <v>0</v>
      </c>
      <c r="X17" s="381"/>
      <c r="Y17" s="361"/>
      <c r="AB17" s="197">
        <f t="shared" si="1"/>
        <v>0</v>
      </c>
      <c r="AC17" s="198">
        <f t="shared" si="2"/>
        <v>0</v>
      </c>
      <c r="AD17" s="197"/>
      <c r="AE17" s="199">
        <v>0</v>
      </c>
    </row>
    <row r="18" spans="2:31" ht="18" customHeight="1" x14ac:dyDescent="0.2">
      <c r="B18" s="348"/>
      <c r="C18" s="349"/>
      <c r="D18" s="362"/>
      <c r="E18" s="363"/>
      <c r="F18" s="363"/>
      <c r="G18" s="364"/>
      <c r="H18" s="337"/>
      <c r="I18" s="338"/>
      <c r="J18" s="339"/>
      <c r="K18" s="340"/>
      <c r="L18" s="338"/>
      <c r="M18" s="338"/>
      <c r="N18" s="338"/>
      <c r="O18" s="338"/>
      <c r="P18" s="178" t="s">
        <v>148</v>
      </c>
      <c r="Q18" s="338"/>
      <c r="R18" s="338"/>
      <c r="S18" s="341"/>
      <c r="T18" s="179"/>
      <c r="U18" s="180"/>
      <c r="V18" s="181" t="str">
        <f t="shared" si="0"/>
        <v>　</v>
      </c>
      <c r="W18" s="357"/>
      <c r="X18" s="358"/>
      <c r="Y18" s="332"/>
      <c r="AB18" s="197">
        <f t="shared" si="1"/>
        <v>0</v>
      </c>
      <c r="AC18" s="198">
        <f t="shared" si="2"/>
        <v>0</v>
      </c>
      <c r="AD18" s="197"/>
      <c r="AE18" s="199">
        <v>0</v>
      </c>
    </row>
    <row r="19" spans="2:31" ht="18" customHeight="1" x14ac:dyDescent="0.2">
      <c r="B19" s="348"/>
      <c r="C19" s="349"/>
      <c r="D19" s="362"/>
      <c r="E19" s="363"/>
      <c r="F19" s="363"/>
      <c r="G19" s="364"/>
      <c r="H19" s="337"/>
      <c r="I19" s="338"/>
      <c r="J19" s="339"/>
      <c r="K19" s="340"/>
      <c r="L19" s="338"/>
      <c r="M19" s="338"/>
      <c r="N19" s="338"/>
      <c r="O19" s="338"/>
      <c r="P19" s="178" t="s">
        <v>148</v>
      </c>
      <c r="Q19" s="338"/>
      <c r="R19" s="338"/>
      <c r="S19" s="341"/>
      <c r="T19" s="179"/>
      <c r="U19" s="180"/>
      <c r="V19" s="181" t="str">
        <f t="shared" si="0"/>
        <v>　</v>
      </c>
      <c r="W19" s="357"/>
      <c r="X19" s="358"/>
      <c r="Y19" s="332"/>
      <c r="AB19" s="197">
        <f t="shared" si="1"/>
        <v>0</v>
      </c>
      <c r="AC19" s="198">
        <f t="shared" si="2"/>
        <v>0</v>
      </c>
      <c r="AD19" s="197"/>
      <c r="AE19" s="199">
        <v>0</v>
      </c>
    </row>
    <row r="20" spans="2:31" ht="18" customHeight="1" x14ac:dyDescent="0.2">
      <c r="B20" s="350"/>
      <c r="C20" s="351"/>
      <c r="D20" s="362"/>
      <c r="E20" s="363"/>
      <c r="F20" s="363"/>
      <c r="G20" s="364"/>
      <c r="H20" s="365"/>
      <c r="I20" s="366"/>
      <c r="J20" s="367"/>
      <c r="K20" s="397"/>
      <c r="L20" s="366"/>
      <c r="M20" s="366"/>
      <c r="N20" s="366"/>
      <c r="O20" s="366"/>
      <c r="P20" s="196" t="s">
        <v>148</v>
      </c>
      <c r="Q20" s="366"/>
      <c r="R20" s="366"/>
      <c r="S20" s="396"/>
      <c r="T20" s="191"/>
      <c r="U20" s="183"/>
      <c r="V20" s="184" t="str">
        <f t="shared" si="0"/>
        <v>　</v>
      </c>
      <c r="W20" s="359"/>
      <c r="X20" s="360"/>
      <c r="Y20" s="333"/>
      <c r="AB20" s="197">
        <f t="shared" si="1"/>
        <v>0</v>
      </c>
      <c r="AC20" s="198">
        <f t="shared" si="2"/>
        <v>0</v>
      </c>
      <c r="AD20" s="197"/>
      <c r="AE20" s="199">
        <v>0</v>
      </c>
    </row>
    <row r="21" spans="2:31" ht="18" customHeight="1" x14ac:dyDescent="0.2">
      <c r="B21" s="371"/>
      <c r="C21" s="372"/>
      <c r="D21" s="185" t="s">
        <v>169</v>
      </c>
      <c r="E21" s="373"/>
      <c r="F21" s="373"/>
      <c r="G21" s="374"/>
      <c r="H21" s="382"/>
      <c r="I21" s="383"/>
      <c r="J21" s="384"/>
      <c r="K21" s="378"/>
      <c r="L21" s="376"/>
      <c r="M21" s="376"/>
      <c r="N21" s="376"/>
      <c r="O21" s="376"/>
      <c r="P21" s="186" t="s">
        <v>148</v>
      </c>
      <c r="Q21" s="376"/>
      <c r="R21" s="376"/>
      <c r="S21" s="379"/>
      <c r="T21" s="187"/>
      <c r="U21" s="188"/>
      <c r="V21" s="189" t="str">
        <f t="shared" si="0"/>
        <v>　</v>
      </c>
      <c r="W21" s="380">
        <f>SUM(V21:V24)</f>
        <v>0</v>
      </c>
      <c r="X21" s="381"/>
      <c r="Y21" s="361"/>
      <c r="AB21" s="197">
        <f t="shared" si="1"/>
        <v>0</v>
      </c>
      <c r="AC21" s="198">
        <f t="shared" si="2"/>
        <v>0</v>
      </c>
      <c r="AD21" s="197"/>
      <c r="AE21" s="199">
        <v>0</v>
      </c>
    </row>
    <row r="22" spans="2:31" ht="18" customHeight="1" x14ac:dyDescent="0.2">
      <c r="B22" s="348"/>
      <c r="C22" s="349"/>
      <c r="D22" s="362"/>
      <c r="E22" s="363"/>
      <c r="F22" s="363"/>
      <c r="G22" s="364"/>
      <c r="H22" s="337"/>
      <c r="I22" s="338"/>
      <c r="J22" s="339"/>
      <c r="K22" s="340"/>
      <c r="L22" s="338"/>
      <c r="M22" s="338"/>
      <c r="N22" s="338"/>
      <c r="O22" s="338"/>
      <c r="P22" s="178" t="s">
        <v>148</v>
      </c>
      <c r="Q22" s="338"/>
      <c r="R22" s="338"/>
      <c r="S22" s="341"/>
      <c r="T22" s="179"/>
      <c r="U22" s="180"/>
      <c r="V22" s="181" t="str">
        <f t="shared" si="0"/>
        <v>　</v>
      </c>
      <c r="W22" s="357"/>
      <c r="X22" s="358"/>
      <c r="Y22" s="332"/>
      <c r="AB22" s="197">
        <f t="shared" si="1"/>
        <v>0</v>
      </c>
      <c r="AC22" s="198">
        <f t="shared" si="2"/>
        <v>0</v>
      </c>
      <c r="AD22" s="197"/>
      <c r="AE22" s="199">
        <v>0</v>
      </c>
    </row>
    <row r="23" spans="2:31" ht="18" customHeight="1" x14ac:dyDescent="0.2">
      <c r="B23" s="348"/>
      <c r="C23" s="349"/>
      <c r="D23" s="362"/>
      <c r="E23" s="363"/>
      <c r="F23" s="363"/>
      <c r="G23" s="364"/>
      <c r="H23" s="337"/>
      <c r="I23" s="338"/>
      <c r="J23" s="339"/>
      <c r="K23" s="340"/>
      <c r="L23" s="338"/>
      <c r="M23" s="338"/>
      <c r="N23" s="338"/>
      <c r="O23" s="338"/>
      <c r="P23" s="178" t="s">
        <v>148</v>
      </c>
      <c r="Q23" s="338"/>
      <c r="R23" s="338"/>
      <c r="S23" s="341"/>
      <c r="T23" s="179"/>
      <c r="U23" s="180"/>
      <c r="V23" s="181" t="str">
        <f t="shared" si="0"/>
        <v>　</v>
      </c>
      <c r="W23" s="357"/>
      <c r="X23" s="358"/>
      <c r="Y23" s="332"/>
      <c r="AB23" s="197">
        <f t="shared" si="1"/>
        <v>0</v>
      </c>
      <c r="AC23" s="198">
        <f t="shared" si="2"/>
        <v>0</v>
      </c>
      <c r="AD23" s="197"/>
      <c r="AE23" s="199">
        <v>0</v>
      </c>
    </row>
    <row r="24" spans="2:31" ht="18" customHeight="1" x14ac:dyDescent="0.2">
      <c r="B24" s="350"/>
      <c r="C24" s="351"/>
      <c r="D24" s="362"/>
      <c r="E24" s="363"/>
      <c r="F24" s="363"/>
      <c r="G24" s="364"/>
      <c r="H24" s="365"/>
      <c r="I24" s="366"/>
      <c r="J24" s="367"/>
      <c r="K24" s="397"/>
      <c r="L24" s="366"/>
      <c r="M24" s="366"/>
      <c r="N24" s="366"/>
      <c r="O24" s="366"/>
      <c r="P24" s="196" t="s">
        <v>148</v>
      </c>
      <c r="Q24" s="366"/>
      <c r="R24" s="366"/>
      <c r="S24" s="396"/>
      <c r="T24" s="191"/>
      <c r="U24" s="183"/>
      <c r="V24" s="184" t="str">
        <f t="shared" si="0"/>
        <v>　</v>
      </c>
      <c r="W24" s="359"/>
      <c r="X24" s="360"/>
      <c r="Y24" s="333"/>
      <c r="AB24" s="197">
        <f t="shared" si="1"/>
        <v>0</v>
      </c>
      <c r="AC24" s="198">
        <f t="shared" si="2"/>
        <v>0</v>
      </c>
      <c r="AD24" s="197"/>
      <c r="AE24" s="199">
        <v>0</v>
      </c>
    </row>
    <row r="25" spans="2:31" ht="18" customHeight="1" x14ac:dyDescent="0.2">
      <c r="B25" s="371"/>
      <c r="C25" s="372"/>
      <c r="D25" s="185" t="s">
        <v>169</v>
      </c>
      <c r="E25" s="373"/>
      <c r="F25" s="373"/>
      <c r="G25" s="374"/>
      <c r="H25" s="382"/>
      <c r="I25" s="383"/>
      <c r="J25" s="384"/>
      <c r="K25" s="378"/>
      <c r="L25" s="376"/>
      <c r="M25" s="376"/>
      <c r="N25" s="376"/>
      <c r="O25" s="376"/>
      <c r="P25" s="186" t="s">
        <v>148</v>
      </c>
      <c r="Q25" s="376"/>
      <c r="R25" s="376"/>
      <c r="S25" s="379"/>
      <c r="T25" s="187"/>
      <c r="U25" s="188"/>
      <c r="V25" s="189" t="str">
        <f t="shared" si="0"/>
        <v>　</v>
      </c>
      <c r="W25" s="380">
        <f>SUM(V25:V28)</f>
        <v>0</v>
      </c>
      <c r="X25" s="381"/>
      <c r="Y25" s="361"/>
      <c r="AB25" s="197">
        <f t="shared" si="1"/>
        <v>0</v>
      </c>
      <c r="AC25" s="198">
        <f t="shared" si="2"/>
        <v>0</v>
      </c>
      <c r="AD25" s="197"/>
      <c r="AE25" s="199">
        <v>0</v>
      </c>
    </row>
    <row r="26" spans="2:31" ht="18" customHeight="1" x14ac:dyDescent="0.2">
      <c r="B26" s="348"/>
      <c r="C26" s="349"/>
      <c r="D26" s="362"/>
      <c r="E26" s="363"/>
      <c r="F26" s="363"/>
      <c r="G26" s="364"/>
      <c r="H26" s="337"/>
      <c r="I26" s="338"/>
      <c r="J26" s="339"/>
      <c r="K26" s="340"/>
      <c r="L26" s="338"/>
      <c r="M26" s="338"/>
      <c r="N26" s="338"/>
      <c r="O26" s="338"/>
      <c r="P26" s="178" t="s">
        <v>148</v>
      </c>
      <c r="Q26" s="338"/>
      <c r="R26" s="338"/>
      <c r="S26" s="341"/>
      <c r="T26" s="179"/>
      <c r="U26" s="180"/>
      <c r="V26" s="181" t="str">
        <f t="shared" si="0"/>
        <v>　</v>
      </c>
      <c r="W26" s="357"/>
      <c r="X26" s="358"/>
      <c r="Y26" s="332"/>
      <c r="AB26" s="197">
        <f t="shared" si="1"/>
        <v>0</v>
      </c>
      <c r="AC26" s="198">
        <f t="shared" si="2"/>
        <v>0</v>
      </c>
      <c r="AD26" s="197"/>
      <c r="AE26" s="199">
        <v>0</v>
      </c>
    </row>
    <row r="27" spans="2:31" ht="18" customHeight="1" x14ac:dyDescent="0.2">
      <c r="B27" s="348"/>
      <c r="C27" s="349"/>
      <c r="D27" s="362"/>
      <c r="E27" s="363"/>
      <c r="F27" s="363"/>
      <c r="G27" s="364"/>
      <c r="H27" s="337"/>
      <c r="I27" s="338"/>
      <c r="J27" s="339"/>
      <c r="K27" s="340"/>
      <c r="L27" s="338"/>
      <c r="M27" s="338"/>
      <c r="N27" s="338"/>
      <c r="O27" s="338"/>
      <c r="P27" s="178" t="s">
        <v>148</v>
      </c>
      <c r="Q27" s="338"/>
      <c r="R27" s="338"/>
      <c r="S27" s="341"/>
      <c r="T27" s="179"/>
      <c r="U27" s="180"/>
      <c r="V27" s="181" t="str">
        <f t="shared" si="0"/>
        <v>　</v>
      </c>
      <c r="W27" s="357"/>
      <c r="X27" s="358"/>
      <c r="Y27" s="332"/>
      <c r="AB27" s="197">
        <f t="shared" si="1"/>
        <v>0</v>
      </c>
      <c r="AC27" s="198">
        <f t="shared" si="2"/>
        <v>0</v>
      </c>
      <c r="AD27" s="197"/>
      <c r="AE27" s="199">
        <v>0</v>
      </c>
    </row>
    <row r="28" spans="2:31" ht="18" customHeight="1" x14ac:dyDescent="0.2">
      <c r="B28" s="350"/>
      <c r="C28" s="351"/>
      <c r="D28" s="362"/>
      <c r="E28" s="363"/>
      <c r="F28" s="363"/>
      <c r="G28" s="364"/>
      <c r="H28" s="365"/>
      <c r="I28" s="366"/>
      <c r="J28" s="367"/>
      <c r="K28" s="397"/>
      <c r="L28" s="366"/>
      <c r="M28" s="366"/>
      <c r="N28" s="366"/>
      <c r="O28" s="366"/>
      <c r="P28" s="196" t="s">
        <v>148</v>
      </c>
      <c r="Q28" s="366"/>
      <c r="R28" s="366"/>
      <c r="S28" s="396"/>
      <c r="T28" s="191"/>
      <c r="U28" s="183"/>
      <c r="V28" s="184" t="str">
        <f t="shared" si="0"/>
        <v>　</v>
      </c>
      <c r="W28" s="359"/>
      <c r="X28" s="360"/>
      <c r="Y28" s="333"/>
      <c r="AB28" s="197">
        <f t="shared" si="1"/>
        <v>0</v>
      </c>
      <c r="AC28" s="198">
        <f t="shared" si="2"/>
        <v>0</v>
      </c>
      <c r="AD28" s="197"/>
      <c r="AE28" s="199">
        <v>0</v>
      </c>
    </row>
    <row r="29" spans="2:31" ht="18" customHeight="1" x14ac:dyDescent="0.2">
      <c r="B29" s="371"/>
      <c r="C29" s="372"/>
      <c r="D29" s="185" t="s">
        <v>169</v>
      </c>
      <c r="E29" s="373"/>
      <c r="F29" s="373"/>
      <c r="G29" s="374"/>
      <c r="H29" s="382"/>
      <c r="I29" s="383"/>
      <c r="J29" s="384"/>
      <c r="K29" s="378"/>
      <c r="L29" s="376"/>
      <c r="M29" s="376"/>
      <c r="N29" s="376"/>
      <c r="O29" s="376"/>
      <c r="P29" s="186" t="s">
        <v>148</v>
      </c>
      <c r="Q29" s="376"/>
      <c r="R29" s="376"/>
      <c r="S29" s="379"/>
      <c r="T29" s="187"/>
      <c r="U29" s="188"/>
      <c r="V29" s="189" t="str">
        <f t="shared" si="0"/>
        <v>　</v>
      </c>
      <c r="W29" s="380">
        <f>SUM(V29:V32)</f>
        <v>0</v>
      </c>
      <c r="X29" s="381"/>
      <c r="Y29" s="361"/>
      <c r="AB29" s="197">
        <f t="shared" si="1"/>
        <v>0</v>
      </c>
      <c r="AC29" s="198">
        <f t="shared" si="2"/>
        <v>0</v>
      </c>
      <c r="AD29" s="197"/>
      <c r="AE29" s="199">
        <v>0</v>
      </c>
    </row>
    <row r="30" spans="2:31" ht="18" customHeight="1" x14ac:dyDescent="0.2">
      <c r="B30" s="348"/>
      <c r="C30" s="349"/>
      <c r="D30" s="362"/>
      <c r="E30" s="363"/>
      <c r="F30" s="363"/>
      <c r="G30" s="364"/>
      <c r="H30" s="337"/>
      <c r="I30" s="338"/>
      <c r="J30" s="339"/>
      <c r="K30" s="340"/>
      <c r="L30" s="338"/>
      <c r="M30" s="338"/>
      <c r="N30" s="338"/>
      <c r="O30" s="338"/>
      <c r="P30" s="178" t="s">
        <v>148</v>
      </c>
      <c r="Q30" s="338"/>
      <c r="R30" s="338"/>
      <c r="S30" s="341"/>
      <c r="T30" s="179"/>
      <c r="U30" s="180"/>
      <c r="V30" s="181" t="str">
        <f t="shared" si="0"/>
        <v>　</v>
      </c>
      <c r="W30" s="357"/>
      <c r="X30" s="358"/>
      <c r="Y30" s="332"/>
      <c r="AB30" s="197">
        <f t="shared" si="1"/>
        <v>0</v>
      </c>
      <c r="AC30" s="198">
        <f t="shared" si="2"/>
        <v>0</v>
      </c>
      <c r="AD30" s="197"/>
      <c r="AE30" s="199">
        <v>0</v>
      </c>
    </row>
    <row r="31" spans="2:31" ht="18" customHeight="1" x14ac:dyDescent="0.2">
      <c r="B31" s="348"/>
      <c r="C31" s="349"/>
      <c r="D31" s="362"/>
      <c r="E31" s="363"/>
      <c r="F31" s="363"/>
      <c r="G31" s="364"/>
      <c r="H31" s="337"/>
      <c r="I31" s="338"/>
      <c r="J31" s="339"/>
      <c r="K31" s="340"/>
      <c r="L31" s="338"/>
      <c r="M31" s="338"/>
      <c r="N31" s="338"/>
      <c r="O31" s="338"/>
      <c r="P31" s="178" t="s">
        <v>148</v>
      </c>
      <c r="Q31" s="338"/>
      <c r="R31" s="338"/>
      <c r="S31" s="341"/>
      <c r="T31" s="179"/>
      <c r="U31" s="180"/>
      <c r="V31" s="181" t="str">
        <f t="shared" si="0"/>
        <v>　</v>
      </c>
      <c r="W31" s="357"/>
      <c r="X31" s="358"/>
      <c r="Y31" s="332"/>
      <c r="AB31" s="197">
        <f t="shared" si="1"/>
        <v>0</v>
      </c>
      <c r="AC31" s="198">
        <f t="shared" si="2"/>
        <v>0</v>
      </c>
      <c r="AD31" s="197"/>
      <c r="AE31" s="199">
        <v>0</v>
      </c>
    </row>
    <row r="32" spans="2:31" ht="18" customHeight="1" x14ac:dyDescent="0.2">
      <c r="B32" s="350"/>
      <c r="C32" s="351"/>
      <c r="D32" s="362"/>
      <c r="E32" s="363"/>
      <c r="F32" s="363"/>
      <c r="G32" s="364"/>
      <c r="H32" s="365"/>
      <c r="I32" s="366"/>
      <c r="J32" s="367"/>
      <c r="K32" s="397"/>
      <c r="L32" s="366"/>
      <c r="M32" s="366"/>
      <c r="N32" s="366"/>
      <c r="O32" s="366"/>
      <c r="P32" s="196" t="s">
        <v>148</v>
      </c>
      <c r="Q32" s="366"/>
      <c r="R32" s="366"/>
      <c r="S32" s="396"/>
      <c r="T32" s="191"/>
      <c r="U32" s="183"/>
      <c r="V32" s="184" t="str">
        <f t="shared" si="0"/>
        <v>　</v>
      </c>
      <c r="W32" s="359"/>
      <c r="X32" s="360"/>
      <c r="Y32" s="333"/>
      <c r="AB32" s="197">
        <f t="shared" si="1"/>
        <v>0</v>
      </c>
      <c r="AC32" s="198">
        <f t="shared" si="2"/>
        <v>0</v>
      </c>
      <c r="AD32" s="197"/>
      <c r="AE32" s="199">
        <v>0</v>
      </c>
    </row>
    <row r="33" spans="2:31" ht="18" customHeight="1" x14ac:dyDescent="0.2">
      <c r="B33" s="371"/>
      <c r="C33" s="372"/>
      <c r="D33" s="185" t="s">
        <v>169</v>
      </c>
      <c r="E33" s="373"/>
      <c r="F33" s="373"/>
      <c r="G33" s="374"/>
      <c r="H33" s="382"/>
      <c r="I33" s="383"/>
      <c r="J33" s="384"/>
      <c r="K33" s="378"/>
      <c r="L33" s="376"/>
      <c r="M33" s="376"/>
      <c r="N33" s="376"/>
      <c r="O33" s="376"/>
      <c r="P33" s="186" t="s">
        <v>148</v>
      </c>
      <c r="Q33" s="376"/>
      <c r="R33" s="376"/>
      <c r="S33" s="379"/>
      <c r="T33" s="187"/>
      <c r="U33" s="188"/>
      <c r="V33" s="189" t="str">
        <f t="shared" si="0"/>
        <v>　</v>
      </c>
      <c r="W33" s="380">
        <f>SUM(V33:V36)</f>
        <v>0</v>
      </c>
      <c r="X33" s="381"/>
      <c r="Y33" s="361"/>
      <c r="AB33" s="197">
        <f t="shared" si="1"/>
        <v>0</v>
      </c>
      <c r="AC33" s="198">
        <f t="shared" si="2"/>
        <v>0</v>
      </c>
      <c r="AD33" s="197"/>
      <c r="AE33" s="199">
        <v>0</v>
      </c>
    </row>
    <row r="34" spans="2:31" ht="18" customHeight="1" x14ac:dyDescent="0.2">
      <c r="B34" s="348"/>
      <c r="C34" s="349"/>
      <c r="D34" s="362"/>
      <c r="E34" s="363"/>
      <c r="F34" s="363"/>
      <c r="G34" s="364"/>
      <c r="H34" s="337"/>
      <c r="I34" s="338"/>
      <c r="J34" s="339"/>
      <c r="K34" s="340"/>
      <c r="L34" s="338"/>
      <c r="M34" s="338"/>
      <c r="N34" s="338"/>
      <c r="O34" s="338"/>
      <c r="P34" s="178" t="s">
        <v>148</v>
      </c>
      <c r="Q34" s="338"/>
      <c r="R34" s="338"/>
      <c r="S34" s="341"/>
      <c r="T34" s="179"/>
      <c r="U34" s="180"/>
      <c r="V34" s="181" t="str">
        <f t="shared" si="0"/>
        <v>　</v>
      </c>
      <c r="W34" s="357"/>
      <c r="X34" s="358"/>
      <c r="Y34" s="332"/>
      <c r="AB34" s="197">
        <f t="shared" si="1"/>
        <v>0</v>
      </c>
      <c r="AC34" s="198">
        <f t="shared" si="2"/>
        <v>0</v>
      </c>
      <c r="AD34" s="197"/>
      <c r="AE34" s="199">
        <v>0</v>
      </c>
    </row>
    <row r="35" spans="2:31" ht="18" customHeight="1" x14ac:dyDescent="0.2">
      <c r="B35" s="348"/>
      <c r="C35" s="349"/>
      <c r="D35" s="362"/>
      <c r="E35" s="363"/>
      <c r="F35" s="363"/>
      <c r="G35" s="364"/>
      <c r="H35" s="337"/>
      <c r="I35" s="338"/>
      <c r="J35" s="339"/>
      <c r="K35" s="340"/>
      <c r="L35" s="338"/>
      <c r="M35" s="338"/>
      <c r="N35" s="338"/>
      <c r="O35" s="338"/>
      <c r="P35" s="178" t="s">
        <v>148</v>
      </c>
      <c r="Q35" s="338"/>
      <c r="R35" s="338"/>
      <c r="S35" s="341"/>
      <c r="T35" s="179"/>
      <c r="U35" s="180"/>
      <c r="V35" s="181" t="str">
        <f t="shared" si="0"/>
        <v>　</v>
      </c>
      <c r="W35" s="357"/>
      <c r="X35" s="358"/>
      <c r="Y35" s="332"/>
      <c r="AB35" s="197">
        <f t="shared" si="1"/>
        <v>0</v>
      </c>
      <c r="AC35" s="198">
        <f t="shared" si="2"/>
        <v>0</v>
      </c>
      <c r="AD35" s="197"/>
      <c r="AE35" s="199">
        <v>0</v>
      </c>
    </row>
    <row r="36" spans="2:31" ht="18" customHeight="1" x14ac:dyDescent="0.2">
      <c r="B36" s="350"/>
      <c r="C36" s="351"/>
      <c r="D36" s="362"/>
      <c r="E36" s="363"/>
      <c r="F36" s="363"/>
      <c r="G36" s="364"/>
      <c r="H36" s="365"/>
      <c r="I36" s="366"/>
      <c r="J36" s="367"/>
      <c r="K36" s="397"/>
      <c r="L36" s="366"/>
      <c r="M36" s="366"/>
      <c r="N36" s="366"/>
      <c r="O36" s="366"/>
      <c r="P36" s="196" t="s">
        <v>148</v>
      </c>
      <c r="Q36" s="366"/>
      <c r="R36" s="366"/>
      <c r="S36" s="396"/>
      <c r="T36" s="191"/>
      <c r="U36" s="183"/>
      <c r="V36" s="184" t="str">
        <f t="shared" si="0"/>
        <v>　</v>
      </c>
      <c r="W36" s="359"/>
      <c r="X36" s="360"/>
      <c r="Y36" s="333"/>
      <c r="AB36" s="197">
        <f t="shared" si="1"/>
        <v>0</v>
      </c>
      <c r="AC36" s="198">
        <f t="shared" si="2"/>
        <v>0</v>
      </c>
      <c r="AD36" s="197"/>
      <c r="AE36" s="199">
        <v>0</v>
      </c>
    </row>
    <row r="37" spans="2:31" ht="18" customHeight="1" x14ac:dyDescent="0.2">
      <c r="B37" s="371"/>
      <c r="C37" s="372"/>
      <c r="D37" s="185" t="s">
        <v>169</v>
      </c>
      <c r="E37" s="373"/>
      <c r="F37" s="373"/>
      <c r="G37" s="374"/>
      <c r="H37" s="382"/>
      <c r="I37" s="383"/>
      <c r="J37" s="384"/>
      <c r="K37" s="378"/>
      <c r="L37" s="376"/>
      <c r="M37" s="376"/>
      <c r="N37" s="376"/>
      <c r="O37" s="376"/>
      <c r="P37" s="186" t="s">
        <v>148</v>
      </c>
      <c r="Q37" s="376"/>
      <c r="R37" s="376"/>
      <c r="S37" s="379"/>
      <c r="T37" s="187"/>
      <c r="U37" s="188"/>
      <c r="V37" s="189" t="str">
        <f t="shared" si="0"/>
        <v>　</v>
      </c>
      <c r="W37" s="380">
        <f>SUM(V37:V40)</f>
        <v>0</v>
      </c>
      <c r="X37" s="381"/>
      <c r="Y37" s="361"/>
      <c r="AB37" s="197">
        <f t="shared" si="1"/>
        <v>0</v>
      </c>
      <c r="AC37" s="198">
        <f t="shared" si="2"/>
        <v>0</v>
      </c>
      <c r="AD37" s="197"/>
      <c r="AE37" s="199">
        <v>0</v>
      </c>
    </row>
    <row r="38" spans="2:31" ht="18" customHeight="1" x14ac:dyDescent="0.2">
      <c r="B38" s="348"/>
      <c r="C38" s="349"/>
      <c r="D38" s="362"/>
      <c r="E38" s="363"/>
      <c r="F38" s="363"/>
      <c r="G38" s="364"/>
      <c r="H38" s="337"/>
      <c r="I38" s="338"/>
      <c r="J38" s="339"/>
      <c r="K38" s="340"/>
      <c r="L38" s="338"/>
      <c r="M38" s="338"/>
      <c r="N38" s="338"/>
      <c r="O38" s="338"/>
      <c r="P38" s="178" t="s">
        <v>148</v>
      </c>
      <c r="Q38" s="338"/>
      <c r="R38" s="338"/>
      <c r="S38" s="341"/>
      <c r="T38" s="179"/>
      <c r="U38" s="180"/>
      <c r="V38" s="181" t="str">
        <f t="shared" si="0"/>
        <v>　</v>
      </c>
      <c r="W38" s="357"/>
      <c r="X38" s="358"/>
      <c r="Y38" s="332"/>
      <c r="AB38" s="197">
        <f t="shared" si="1"/>
        <v>0</v>
      </c>
      <c r="AC38" s="198">
        <f t="shared" si="2"/>
        <v>0</v>
      </c>
      <c r="AD38" s="197"/>
      <c r="AE38" s="199">
        <v>0</v>
      </c>
    </row>
    <row r="39" spans="2:31" ht="18" customHeight="1" x14ac:dyDescent="0.2">
      <c r="B39" s="348"/>
      <c r="C39" s="349"/>
      <c r="D39" s="362"/>
      <c r="E39" s="363"/>
      <c r="F39" s="363"/>
      <c r="G39" s="364"/>
      <c r="H39" s="337"/>
      <c r="I39" s="338"/>
      <c r="J39" s="339"/>
      <c r="K39" s="340"/>
      <c r="L39" s="338"/>
      <c r="M39" s="338"/>
      <c r="N39" s="338"/>
      <c r="O39" s="338"/>
      <c r="P39" s="178" t="s">
        <v>148</v>
      </c>
      <c r="Q39" s="338"/>
      <c r="R39" s="338"/>
      <c r="S39" s="341"/>
      <c r="T39" s="179"/>
      <c r="U39" s="180"/>
      <c r="V39" s="181" t="str">
        <f t="shared" si="0"/>
        <v>　</v>
      </c>
      <c r="W39" s="357"/>
      <c r="X39" s="358"/>
      <c r="Y39" s="332"/>
      <c r="AB39" s="197">
        <f t="shared" si="1"/>
        <v>0</v>
      </c>
      <c r="AC39" s="198">
        <f t="shared" si="2"/>
        <v>0</v>
      </c>
      <c r="AD39" s="197"/>
      <c r="AE39" s="199">
        <v>0</v>
      </c>
    </row>
    <row r="40" spans="2:31" ht="18" customHeight="1" x14ac:dyDescent="0.2">
      <c r="B40" s="350"/>
      <c r="C40" s="351"/>
      <c r="D40" s="362"/>
      <c r="E40" s="363"/>
      <c r="F40" s="363"/>
      <c r="G40" s="364"/>
      <c r="H40" s="365"/>
      <c r="I40" s="366"/>
      <c r="J40" s="367"/>
      <c r="K40" s="397"/>
      <c r="L40" s="366"/>
      <c r="M40" s="366"/>
      <c r="N40" s="366"/>
      <c r="O40" s="366"/>
      <c r="P40" s="196" t="s">
        <v>148</v>
      </c>
      <c r="Q40" s="366"/>
      <c r="R40" s="366"/>
      <c r="S40" s="396"/>
      <c r="T40" s="191"/>
      <c r="U40" s="183"/>
      <c r="V40" s="184" t="str">
        <f t="shared" si="0"/>
        <v>　</v>
      </c>
      <c r="W40" s="359"/>
      <c r="X40" s="360"/>
      <c r="Y40" s="333"/>
      <c r="AB40" s="197">
        <f t="shared" si="1"/>
        <v>0</v>
      </c>
      <c r="AC40" s="198">
        <f t="shared" si="2"/>
        <v>0</v>
      </c>
      <c r="AD40" s="197"/>
      <c r="AE40" s="199">
        <v>0</v>
      </c>
    </row>
    <row r="41" spans="2:31" ht="18" customHeight="1" x14ac:dyDescent="0.2">
      <c r="B41" s="371"/>
      <c r="C41" s="372"/>
      <c r="D41" s="185" t="s">
        <v>169</v>
      </c>
      <c r="E41" s="373"/>
      <c r="F41" s="373"/>
      <c r="G41" s="374"/>
      <c r="H41" s="382"/>
      <c r="I41" s="383"/>
      <c r="J41" s="384"/>
      <c r="K41" s="378"/>
      <c r="L41" s="376"/>
      <c r="M41" s="376"/>
      <c r="N41" s="376"/>
      <c r="O41" s="376"/>
      <c r="P41" s="186" t="s">
        <v>148</v>
      </c>
      <c r="Q41" s="376"/>
      <c r="R41" s="376"/>
      <c r="S41" s="379"/>
      <c r="T41" s="187"/>
      <c r="U41" s="188"/>
      <c r="V41" s="189" t="str">
        <f t="shared" si="0"/>
        <v>　</v>
      </c>
      <c r="W41" s="380">
        <f>SUM(V41:V44)</f>
        <v>0</v>
      </c>
      <c r="X41" s="381"/>
      <c r="Y41" s="361"/>
      <c r="AB41" s="197">
        <f t="shared" si="1"/>
        <v>0</v>
      </c>
      <c r="AC41" s="198">
        <f t="shared" si="2"/>
        <v>0</v>
      </c>
      <c r="AD41" s="197"/>
      <c r="AE41" s="199">
        <v>0</v>
      </c>
    </row>
    <row r="42" spans="2:31" ht="18" customHeight="1" x14ac:dyDescent="0.2">
      <c r="B42" s="348"/>
      <c r="C42" s="349"/>
      <c r="D42" s="362"/>
      <c r="E42" s="363"/>
      <c r="F42" s="363"/>
      <c r="G42" s="364"/>
      <c r="H42" s="337"/>
      <c r="I42" s="338"/>
      <c r="J42" s="339"/>
      <c r="K42" s="340"/>
      <c r="L42" s="338"/>
      <c r="M42" s="338"/>
      <c r="N42" s="338"/>
      <c r="O42" s="338"/>
      <c r="P42" s="178" t="s">
        <v>148</v>
      </c>
      <c r="Q42" s="338"/>
      <c r="R42" s="338"/>
      <c r="S42" s="341"/>
      <c r="T42" s="179"/>
      <c r="U42" s="180"/>
      <c r="V42" s="181" t="str">
        <f t="shared" si="0"/>
        <v>　</v>
      </c>
      <c r="W42" s="357"/>
      <c r="X42" s="358"/>
      <c r="Y42" s="332"/>
      <c r="AB42" s="197">
        <f t="shared" si="1"/>
        <v>0</v>
      </c>
      <c r="AC42" s="198">
        <f t="shared" si="2"/>
        <v>0</v>
      </c>
      <c r="AD42" s="197"/>
      <c r="AE42" s="199">
        <v>0</v>
      </c>
    </row>
    <row r="43" spans="2:31" ht="18" customHeight="1" x14ac:dyDescent="0.2">
      <c r="B43" s="348"/>
      <c r="C43" s="349"/>
      <c r="D43" s="362"/>
      <c r="E43" s="363"/>
      <c r="F43" s="363"/>
      <c r="G43" s="364"/>
      <c r="H43" s="337"/>
      <c r="I43" s="338"/>
      <c r="J43" s="339"/>
      <c r="K43" s="340"/>
      <c r="L43" s="338"/>
      <c r="M43" s="338"/>
      <c r="N43" s="338"/>
      <c r="O43" s="338"/>
      <c r="P43" s="178" t="s">
        <v>148</v>
      </c>
      <c r="Q43" s="338"/>
      <c r="R43" s="338"/>
      <c r="S43" s="341"/>
      <c r="T43" s="179"/>
      <c r="U43" s="180"/>
      <c r="V43" s="181" t="str">
        <f t="shared" si="0"/>
        <v>　</v>
      </c>
      <c r="W43" s="357"/>
      <c r="X43" s="358"/>
      <c r="Y43" s="332"/>
      <c r="AB43" s="197">
        <f t="shared" si="1"/>
        <v>0</v>
      </c>
      <c r="AC43" s="198">
        <f t="shared" si="2"/>
        <v>0</v>
      </c>
      <c r="AD43" s="197"/>
      <c r="AE43" s="199">
        <v>0</v>
      </c>
    </row>
    <row r="44" spans="2:31" ht="18" customHeight="1" x14ac:dyDescent="0.2">
      <c r="B44" s="350"/>
      <c r="C44" s="351"/>
      <c r="D44" s="362"/>
      <c r="E44" s="363"/>
      <c r="F44" s="363"/>
      <c r="G44" s="364"/>
      <c r="H44" s="365"/>
      <c r="I44" s="366"/>
      <c r="J44" s="367"/>
      <c r="K44" s="397"/>
      <c r="L44" s="366"/>
      <c r="M44" s="366"/>
      <c r="N44" s="366"/>
      <c r="O44" s="366"/>
      <c r="P44" s="196" t="s">
        <v>148</v>
      </c>
      <c r="Q44" s="366"/>
      <c r="R44" s="366"/>
      <c r="S44" s="396"/>
      <c r="T44" s="191"/>
      <c r="U44" s="183"/>
      <c r="V44" s="184" t="str">
        <f t="shared" si="0"/>
        <v>　</v>
      </c>
      <c r="W44" s="359"/>
      <c r="X44" s="360"/>
      <c r="Y44" s="333"/>
      <c r="AB44" s="197">
        <f t="shared" si="1"/>
        <v>0</v>
      </c>
      <c r="AC44" s="198">
        <f t="shared" si="2"/>
        <v>0</v>
      </c>
      <c r="AD44" s="197"/>
      <c r="AE44" s="199">
        <v>0</v>
      </c>
    </row>
    <row r="45" spans="2:31" ht="18" customHeight="1" x14ac:dyDescent="0.2">
      <c r="B45" s="371"/>
      <c r="C45" s="372"/>
      <c r="D45" s="185" t="s">
        <v>169</v>
      </c>
      <c r="E45" s="373"/>
      <c r="F45" s="373"/>
      <c r="G45" s="374"/>
      <c r="H45" s="382"/>
      <c r="I45" s="383"/>
      <c r="J45" s="384"/>
      <c r="K45" s="378"/>
      <c r="L45" s="376"/>
      <c r="M45" s="376"/>
      <c r="N45" s="376"/>
      <c r="O45" s="376"/>
      <c r="P45" s="186" t="s">
        <v>148</v>
      </c>
      <c r="Q45" s="376"/>
      <c r="R45" s="376"/>
      <c r="S45" s="379"/>
      <c r="T45" s="187"/>
      <c r="U45" s="188"/>
      <c r="V45" s="192" t="str">
        <f t="shared" si="0"/>
        <v>　</v>
      </c>
      <c r="W45" s="380">
        <f>SUM(V45:V48)</f>
        <v>0</v>
      </c>
      <c r="X45" s="381"/>
      <c r="Y45" s="361"/>
      <c r="AB45" s="197">
        <f t="shared" si="1"/>
        <v>0</v>
      </c>
      <c r="AC45" s="198">
        <f t="shared" si="2"/>
        <v>0</v>
      </c>
      <c r="AD45" s="197"/>
      <c r="AE45" s="199">
        <v>0</v>
      </c>
    </row>
    <row r="46" spans="2:31" ht="18" customHeight="1" x14ac:dyDescent="0.2">
      <c r="B46" s="348"/>
      <c r="C46" s="349"/>
      <c r="D46" s="362"/>
      <c r="E46" s="363"/>
      <c r="F46" s="363"/>
      <c r="G46" s="364"/>
      <c r="H46" s="337"/>
      <c r="I46" s="338"/>
      <c r="J46" s="339"/>
      <c r="K46" s="340"/>
      <c r="L46" s="338"/>
      <c r="M46" s="338"/>
      <c r="N46" s="338"/>
      <c r="O46" s="338"/>
      <c r="P46" s="178" t="s">
        <v>148</v>
      </c>
      <c r="Q46" s="338"/>
      <c r="R46" s="338"/>
      <c r="S46" s="341"/>
      <c r="T46" s="179"/>
      <c r="U46" s="180"/>
      <c r="V46" s="181" t="str">
        <f t="shared" si="0"/>
        <v>　</v>
      </c>
      <c r="W46" s="357"/>
      <c r="X46" s="358"/>
      <c r="Y46" s="332"/>
      <c r="AB46" s="197">
        <f t="shared" si="1"/>
        <v>0</v>
      </c>
      <c r="AC46" s="198">
        <f t="shared" si="2"/>
        <v>0</v>
      </c>
      <c r="AD46" s="197"/>
      <c r="AE46" s="199">
        <v>0</v>
      </c>
    </row>
    <row r="47" spans="2:31" ht="18" customHeight="1" x14ac:dyDescent="0.2">
      <c r="B47" s="348"/>
      <c r="C47" s="349"/>
      <c r="D47" s="398"/>
      <c r="E47" s="399"/>
      <c r="F47" s="399"/>
      <c r="G47" s="400"/>
      <c r="H47" s="337"/>
      <c r="I47" s="338"/>
      <c r="J47" s="339"/>
      <c r="K47" s="340"/>
      <c r="L47" s="338"/>
      <c r="M47" s="338"/>
      <c r="N47" s="338"/>
      <c r="O47" s="338"/>
      <c r="P47" s="178" t="s">
        <v>148</v>
      </c>
      <c r="Q47" s="338"/>
      <c r="R47" s="338"/>
      <c r="S47" s="341"/>
      <c r="T47" s="179"/>
      <c r="U47" s="180"/>
      <c r="V47" s="181" t="str">
        <f t="shared" si="0"/>
        <v>　</v>
      </c>
      <c r="W47" s="357"/>
      <c r="X47" s="358"/>
      <c r="Y47" s="332"/>
      <c r="AB47" s="197">
        <f t="shared" si="1"/>
        <v>0</v>
      </c>
      <c r="AC47" s="198">
        <f t="shared" si="2"/>
        <v>0</v>
      </c>
      <c r="AD47" s="197"/>
      <c r="AE47" s="199">
        <v>0</v>
      </c>
    </row>
    <row r="48" spans="2:31" ht="18" customHeight="1" thickBot="1" x14ac:dyDescent="0.25">
      <c r="B48" s="348"/>
      <c r="C48" s="349"/>
      <c r="D48" s="391"/>
      <c r="E48" s="392"/>
      <c r="F48" s="392"/>
      <c r="G48" s="393"/>
      <c r="H48" s="342"/>
      <c r="I48" s="343"/>
      <c r="J48" s="344"/>
      <c r="K48" s="397"/>
      <c r="L48" s="366"/>
      <c r="M48" s="366"/>
      <c r="N48" s="366"/>
      <c r="O48" s="366"/>
      <c r="P48" s="196" t="s">
        <v>148</v>
      </c>
      <c r="Q48" s="366"/>
      <c r="R48" s="366"/>
      <c r="S48" s="396"/>
      <c r="T48" s="193"/>
      <c r="U48" s="194"/>
      <c r="V48" s="192" t="str">
        <f t="shared" si="0"/>
        <v>　</v>
      </c>
      <c r="W48" s="357"/>
      <c r="X48" s="358"/>
      <c r="Y48" s="332"/>
      <c r="AB48" s="197">
        <f t="shared" si="1"/>
        <v>0</v>
      </c>
      <c r="AC48" s="198">
        <f t="shared" si="2"/>
        <v>0</v>
      </c>
      <c r="AD48" s="197"/>
      <c r="AE48" s="199">
        <v>0</v>
      </c>
    </row>
    <row r="49" spans="2:25" ht="21.6" customHeight="1" thickBot="1" x14ac:dyDescent="0.25">
      <c r="B49" s="385" t="s">
        <v>170</v>
      </c>
      <c r="C49" s="386"/>
      <c r="D49" s="386"/>
      <c r="E49" s="386"/>
      <c r="F49" s="386"/>
      <c r="G49" s="386"/>
      <c r="H49" s="386"/>
      <c r="I49" s="386"/>
      <c r="J49" s="386"/>
      <c r="K49" s="386"/>
      <c r="L49" s="386"/>
      <c r="M49" s="386"/>
      <c r="N49" s="386"/>
      <c r="O49" s="386"/>
      <c r="P49" s="386"/>
      <c r="Q49" s="386"/>
      <c r="R49" s="386"/>
      <c r="S49" s="386"/>
      <c r="T49" s="386"/>
      <c r="U49" s="386"/>
      <c r="V49" s="386"/>
      <c r="W49" s="387">
        <f>SUM(W13:X48)</f>
        <v>0</v>
      </c>
      <c r="X49" s="388"/>
      <c r="Y49" s="195">
        <f>SUM(Y13:Y48)</f>
        <v>0</v>
      </c>
    </row>
    <row r="50" spans="2:25" ht="6.6" customHeight="1" x14ac:dyDescent="0.2"/>
    <row r="51" spans="2:25" ht="16.2" x14ac:dyDescent="0.2">
      <c r="B51" s="389" t="s">
        <v>171</v>
      </c>
      <c r="C51" s="389"/>
      <c r="D51" s="389"/>
      <c r="E51" s="389"/>
      <c r="F51" s="389"/>
      <c r="G51" s="389"/>
      <c r="H51" s="389"/>
      <c r="I51" s="389"/>
      <c r="J51" s="389"/>
      <c r="K51" s="389"/>
      <c r="L51" s="389"/>
      <c r="M51" s="389"/>
      <c r="N51" s="389"/>
      <c r="O51" s="389"/>
      <c r="P51" s="389"/>
      <c r="Q51" s="389"/>
      <c r="R51" s="389"/>
      <c r="S51" s="389"/>
      <c r="T51" s="389"/>
      <c r="U51" s="389"/>
      <c r="V51" s="389"/>
      <c r="W51" s="389"/>
      <c r="X51" s="389"/>
      <c r="Y51" s="389"/>
    </row>
  </sheetData>
  <sheetProtection sheet="1" objects="1" scenarios="1"/>
  <mergeCells count="181">
    <mergeCell ref="W45:X48"/>
    <mergeCell ref="Q48:S48"/>
    <mergeCell ref="Y41:Y44"/>
    <mergeCell ref="D42:G44"/>
    <mergeCell ref="H42:J42"/>
    <mergeCell ref="B41:C44"/>
    <mergeCell ref="E41:G41"/>
    <mergeCell ref="H41:J41"/>
    <mergeCell ref="K41:O41"/>
    <mergeCell ref="Q41:S41"/>
    <mergeCell ref="H43:J43"/>
    <mergeCell ref="K43:O43"/>
    <mergeCell ref="Q43:S43"/>
    <mergeCell ref="H44:J44"/>
    <mergeCell ref="K44:O44"/>
    <mergeCell ref="B49:V49"/>
    <mergeCell ref="W49:X49"/>
    <mergeCell ref="B51:Y51"/>
    <mergeCell ref="AB11:AE11"/>
    <mergeCell ref="Y45:Y48"/>
    <mergeCell ref="D46:G48"/>
    <mergeCell ref="H46:J46"/>
    <mergeCell ref="K46:O46"/>
    <mergeCell ref="Q46:S46"/>
    <mergeCell ref="H47:J47"/>
    <mergeCell ref="K47:O47"/>
    <mergeCell ref="Q47:S47"/>
    <mergeCell ref="H48:J48"/>
    <mergeCell ref="K48:O48"/>
    <mergeCell ref="B45:C48"/>
    <mergeCell ref="E45:G45"/>
    <mergeCell ref="H45:J45"/>
    <mergeCell ref="K45:O45"/>
    <mergeCell ref="Q45:S45"/>
    <mergeCell ref="W41:X44"/>
    <mergeCell ref="Q44:S44"/>
    <mergeCell ref="Y37:Y40"/>
    <mergeCell ref="D38:G40"/>
    <mergeCell ref="H38:J38"/>
    <mergeCell ref="K38:O38"/>
    <mergeCell ref="Q38:S38"/>
    <mergeCell ref="H39:J39"/>
    <mergeCell ref="K39:O39"/>
    <mergeCell ref="Q39:S39"/>
    <mergeCell ref="H40:J40"/>
    <mergeCell ref="K40:O40"/>
    <mergeCell ref="K42:O42"/>
    <mergeCell ref="Q42:S42"/>
    <mergeCell ref="B37:C40"/>
    <mergeCell ref="E37:G37"/>
    <mergeCell ref="H37:J37"/>
    <mergeCell ref="K37:O37"/>
    <mergeCell ref="Q37:S37"/>
    <mergeCell ref="W37:X40"/>
    <mergeCell ref="Q40:S40"/>
    <mergeCell ref="Y33:Y36"/>
    <mergeCell ref="D34:G36"/>
    <mergeCell ref="H34:J34"/>
    <mergeCell ref="K34:O34"/>
    <mergeCell ref="Q34:S34"/>
    <mergeCell ref="H35:J35"/>
    <mergeCell ref="K35:O35"/>
    <mergeCell ref="Q35:S35"/>
    <mergeCell ref="H36:J36"/>
    <mergeCell ref="K36:O36"/>
    <mergeCell ref="B33:C36"/>
    <mergeCell ref="E33:G33"/>
    <mergeCell ref="H33:J33"/>
    <mergeCell ref="K33:O33"/>
    <mergeCell ref="Q33:S33"/>
    <mergeCell ref="W33:X36"/>
    <mergeCell ref="Q36:S36"/>
    <mergeCell ref="Y29:Y32"/>
    <mergeCell ref="D30:G32"/>
    <mergeCell ref="H30:J30"/>
    <mergeCell ref="K30:O30"/>
    <mergeCell ref="Q30:S30"/>
    <mergeCell ref="H31:J31"/>
    <mergeCell ref="K31:O31"/>
    <mergeCell ref="Q31:S31"/>
    <mergeCell ref="H32:J32"/>
    <mergeCell ref="K32:O32"/>
    <mergeCell ref="B29:C32"/>
    <mergeCell ref="E29:G29"/>
    <mergeCell ref="H29:J29"/>
    <mergeCell ref="K29:O29"/>
    <mergeCell ref="Q29:S29"/>
    <mergeCell ref="W29:X32"/>
    <mergeCell ref="Q32:S32"/>
    <mergeCell ref="Y25:Y28"/>
    <mergeCell ref="D26:G28"/>
    <mergeCell ref="H26:J26"/>
    <mergeCell ref="K26:O26"/>
    <mergeCell ref="Q26:S26"/>
    <mergeCell ref="H27:J27"/>
    <mergeCell ref="K27:O27"/>
    <mergeCell ref="Q27:S27"/>
    <mergeCell ref="H28:J28"/>
    <mergeCell ref="K28:O28"/>
    <mergeCell ref="B25:C28"/>
    <mergeCell ref="E25:G25"/>
    <mergeCell ref="H25:J25"/>
    <mergeCell ref="K25:O25"/>
    <mergeCell ref="Q25:S25"/>
    <mergeCell ref="W25:X28"/>
    <mergeCell ref="Q28:S28"/>
    <mergeCell ref="Y21:Y24"/>
    <mergeCell ref="D22:G24"/>
    <mergeCell ref="H22:J22"/>
    <mergeCell ref="K22:O22"/>
    <mergeCell ref="Q22:S22"/>
    <mergeCell ref="H23:J23"/>
    <mergeCell ref="K23:O23"/>
    <mergeCell ref="Q23:S23"/>
    <mergeCell ref="H24:J24"/>
    <mergeCell ref="K24:O24"/>
    <mergeCell ref="B21:C24"/>
    <mergeCell ref="E21:G21"/>
    <mergeCell ref="H21:J21"/>
    <mergeCell ref="K21:O21"/>
    <mergeCell ref="Q21:S21"/>
    <mergeCell ref="W21:X24"/>
    <mergeCell ref="Q24:S24"/>
    <mergeCell ref="Y17:Y20"/>
    <mergeCell ref="D18:G20"/>
    <mergeCell ref="H18:J18"/>
    <mergeCell ref="K18:O18"/>
    <mergeCell ref="Q18:S18"/>
    <mergeCell ref="H19:J19"/>
    <mergeCell ref="K19:O19"/>
    <mergeCell ref="Q19:S19"/>
    <mergeCell ref="H20:J20"/>
    <mergeCell ref="K20:O20"/>
    <mergeCell ref="B17:C20"/>
    <mergeCell ref="E17:G17"/>
    <mergeCell ref="H17:J17"/>
    <mergeCell ref="K17:O17"/>
    <mergeCell ref="Q17:S17"/>
    <mergeCell ref="W17:X20"/>
    <mergeCell ref="Q20:S20"/>
    <mergeCell ref="Y13:Y16"/>
    <mergeCell ref="D14:G16"/>
    <mergeCell ref="H14:J14"/>
    <mergeCell ref="K14:O14"/>
    <mergeCell ref="Q14:S14"/>
    <mergeCell ref="H15:J15"/>
    <mergeCell ref="K15:O15"/>
    <mergeCell ref="Q15:S15"/>
    <mergeCell ref="H16:J16"/>
    <mergeCell ref="K16:O16"/>
    <mergeCell ref="B13:C16"/>
    <mergeCell ref="E13:G13"/>
    <mergeCell ref="H13:J13"/>
    <mergeCell ref="K13:O13"/>
    <mergeCell ref="Q13:S13"/>
    <mergeCell ref="W13:X16"/>
    <mergeCell ref="Q16:S16"/>
    <mergeCell ref="B11:C12"/>
    <mergeCell ref="D11:G12"/>
    <mergeCell ref="H11:S11"/>
    <mergeCell ref="V11:V12"/>
    <mergeCell ref="W11:X12"/>
    <mergeCell ref="Y11:Y12"/>
    <mergeCell ref="H12:J12"/>
    <mergeCell ref="K12:S12"/>
    <mergeCell ref="B7:E7"/>
    <mergeCell ref="F7:M7"/>
    <mergeCell ref="B9:E9"/>
    <mergeCell ref="F9:M9"/>
    <mergeCell ref="R9:S9"/>
    <mergeCell ref="T9:Y9"/>
    <mergeCell ref="B2:Y2"/>
    <mergeCell ref="R4:S4"/>
    <mergeCell ref="T4:U4"/>
    <mergeCell ref="V4:W4"/>
    <mergeCell ref="X4:Y4"/>
    <mergeCell ref="B5:C5"/>
    <mergeCell ref="R5:S7"/>
    <mergeCell ref="T5:U7"/>
    <mergeCell ref="V5:W7"/>
    <mergeCell ref="X5:Y7"/>
  </mergeCells>
  <phoneticPr fontId="3"/>
  <dataValidations count="1">
    <dataValidation type="list" allowBlank="1" showInputMessage="1" showErrorMessage="1" sqref="U13:U48" xr:uid="{D4648D54-0A7A-4EAC-9D32-22DA29828280}">
      <formula1>"片道,往復"</formula1>
    </dataValidation>
  </dataValidations>
  <printOptions horizontalCentered="1" verticalCentered="1"/>
  <pageMargins left="0.11811023622047245" right="0.11811023622047245" top="0.15748031496062992" bottom="0.15748031496062992" header="0.31496062992125984" footer="0.31496062992125984"/>
  <pageSetup paperSize="9" scale="85" fitToWidth="0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 fitToPage="1"/>
  </sheetPr>
  <dimension ref="A1:AI39"/>
  <sheetViews>
    <sheetView zoomScaleNormal="100" workbookViewId="0"/>
  </sheetViews>
  <sheetFormatPr defaultColWidth="9.109375" defaultRowHeight="18" x14ac:dyDescent="0.45"/>
  <cols>
    <col min="1" max="1" width="9" style="101" customWidth="1"/>
    <col min="2" max="2" width="28.5546875" style="108" customWidth="1"/>
    <col min="3" max="3" width="42.88671875" style="108" customWidth="1"/>
    <col min="4" max="33" width="4.33203125" style="108" customWidth="1"/>
    <col min="34" max="16384" width="9.109375" style="108"/>
  </cols>
  <sheetData>
    <row r="1" spans="1:35" s="102" customFormat="1" ht="11.25" customHeight="1" x14ac:dyDescent="0.45">
      <c r="A1" s="101"/>
      <c r="AH1" s="103"/>
      <c r="AI1" s="103"/>
    </row>
    <row r="2" spans="1:35" s="102" customFormat="1" ht="26.4" x14ac:dyDescent="0.45">
      <c r="A2" s="104"/>
      <c r="B2" s="401" t="s">
        <v>86</v>
      </c>
      <c r="C2" s="401"/>
      <c r="F2" s="402">
        <v>44628</v>
      </c>
      <c r="G2" s="402"/>
      <c r="H2" s="402"/>
      <c r="I2" s="402"/>
      <c r="J2" s="402"/>
      <c r="K2" s="402"/>
      <c r="AH2" s="103"/>
      <c r="AI2" s="103"/>
    </row>
    <row r="3" spans="1:35" ht="15" customHeight="1" thickBot="1" x14ac:dyDescent="0.5">
      <c r="A3" s="109"/>
    </row>
    <row r="4" spans="1:35" ht="39.75" customHeight="1" thickBot="1" x14ac:dyDescent="0.5">
      <c r="A4" s="109"/>
      <c r="B4" s="114" t="s">
        <v>78</v>
      </c>
      <c r="C4" s="113" t="s">
        <v>6</v>
      </c>
      <c r="D4" s="107"/>
      <c r="J4" s="107"/>
      <c r="K4" s="107"/>
      <c r="Q4" s="107"/>
      <c r="R4" s="107"/>
      <c r="W4" s="107"/>
      <c r="X4" s="107"/>
      <c r="Y4" s="107"/>
      <c r="AE4" s="107"/>
      <c r="AF4" s="107"/>
    </row>
    <row r="5" spans="1:35" s="101" customFormat="1" ht="19.5" customHeight="1" x14ac:dyDescent="0.2">
      <c r="A5" s="105"/>
      <c r="B5" s="116">
        <v>44562</v>
      </c>
      <c r="C5" s="111" t="s">
        <v>0</v>
      </c>
      <c r="H5" s="106"/>
      <c r="I5" s="106"/>
      <c r="J5" s="106"/>
      <c r="K5" s="106"/>
      <c r="L5" s="106"/>
      <c r="M5" s="106"/>
      <c r="N5" s="106"/>
      <c r="O5" s="106"/>
      <c r="P5" s="106"/>
    </row>
    <row r="6" spans="1:35" s="101" customFormat="1" ht="19.5" customHeight="1" x14ac:dyDescent="0.2">
      <c r="B6" s="116">
        <v>44564</v>
      </c>
      <c r="C6" s="111" t="s">
        <v>62</v>
      </c>
      <c r="F6" s="110" t="s">
        <v>76</v>
      </c>
      <c r="H6" s="106"/>
      <c r="I6" s="106"/>
      <c r="J6" s="106"/>
      <c r="K6" s="106"/>
      <c r="L6" s="106"/>
      <c r="M6" s="106"/>
      <c r="N6" s="106"/>
      <c r="O6" s="106"/>
      <c r="P6" s="106"/>
    </row>
    <row r="7" spans="1:35" s="101" customFormat="1" ht="19.5" customHeight="1" x14ac:dyDescent="0.2">
      <c r="B7" s="116">
        <v>44603</v>
      </c>
      <c r="C7" s="111" t="s">
        <v>1</v>
      </c>
      <c r="G7" s="110" t="s">
        <v>77</v>
      </c>
      <c r="H7" s="106"/>
      <c r="I7" s="106"/>
      <c r="J7" s="106"/>
      <c r="K7" s="106"/>
      <c r="L7" s="106"/>
      <c r="M7" s="106"/>
      <c r="N7" s="106"/>
      <c r="O7" s="106"/>
      <c r="P7" s="106"/>
    </row>
    <row r="8" spans="1:35" s="101" customFormat="1" ht="19.5" customHeight="1" x14ac:dyDescent="0.2">
      <c r="B8" s="116">
        <v>44615</v>
      </c>
      <c r="C8" s="111" t="s">
        <v>13</v>
      </c>
    </row>
    <row r="9" spans="1:35" s="101" customFormat="1" ht="19.5" customHeight="1" x14ac:dyDescent="0.2">
      <c r="B9" s="116">
        <v>44641</v>
      </c>
      <c r="C9" s="111" t="s">
        <v>2</v>
      </c>
    </row>
    <row r="10" spans="1:35" s="101" customFormat="1" ht="19.5" customHeight="1" x14ac:dyDescent="0.2">
      <c r="B10" s="116">
        <v>44680</v>
      </c>
      <c r="C10" s="111" t="s">
        <v>87</v>
      </c>
    </row>
    <row r="11" spans="1:35" s="101" customFormat="1" ht="19.5" customHeight="1" x14ac:dyDescent="0.2">
      <c r="B11" s="116">
        <v>44684</v>
      </c>
      <c r="C11" s="111" t="s">
        <v>88</v>
      </c>
    </row>
    <row r="12" spans="1:35" s="101" customFormat="1" ht="19.5" customHeight="1" x14ac:dyDescent="0.2">
      <c r="B12" s="116">
        <v>44685</v>
      </c>
      <c r="C12" s="111" t="s">
        <v>89</v>
      </c>
    </row>
    <row r="13" spans="1:35" s="101" customFormat="1" ht="19.5" customHeight="1" x14ac:dyDescent="0.2">
      <c r="B13" s="116">
        <v>44686</v>
      </c>
      <c r="C13" s="111" t="s">
        <v>90</v>
      </c>
    </row>
    <row r="14" spans="1:35" s="101" customFormat="1" ht="19.5" customHeight="1" x14ac:dyDescent="0.2">
      <c r="B14" s="116">
        <v>44760</v>
      </c>
      <c r="C14" s="111" t="s">
        <v>91</v>
      </c>
    </row>
    <row r="15" spans="1:35" s="101" customFormat="1" ht="19.5" customHeight="1" x14ac:dyDescent="0.2">
      <c r="B15" s="116">
        <v>44781</v>
      </c>
      <c r="C15" s="111" t="s">
        <v>92</v>
      </c>
    </row>
    <row r="16" spans="1:35" s="101" customFormat="1" ht="19.5" customHeight="1" x14ac:dyDescent="0.2">
      <c r="B16" s="116">
        <v>44782</v>
      </c>
      <c r="C16" s="111" t="s">
        <v>92</v>
      </c>
    </row>
    <row r="17" spans="2:3" s="101" customFormat="1" ht="19.5" customHeight="1" x14ac:dyDescent="0.2">
      <c r="B17" s="116">
        <v>44783</v>
      </c>
      <c r="C17" s="111" t="s">
        <v>92</v>
      </c>
    </row>
    <row r="18" spans="2:3" s="101" customFormat="1" ht="19.5" customHeight="1" x14ac:dyDescent="0.2">
      <c r="B18" s="116">
        <v>44784</v>
      </c>
      <c r="C18" s="111" t="s">
        <v>93</v>
      </c>
    </row>
    <row r="19" spans="2:3" s="101" customFormat="1" ht="19.5" customHeight="1" x14ac:dyDescent="0.2">
      <c r="B19" s="116">
        <v>44823</v>
      </c>
      <c r="C19" s="111" t="s">
        <v>94</v>
      </c>
    </row>
    <row r="20" spans="2:3" s="101" customFormat="1" ht="19.5" customHeight="1" x14ac:dyDescent="0.2">
      <c r="B20" s="116">
        <v>44827</v>
      </c>
      <c r="C20" s="111" t="s">
        <v>95</v>
      </c>
    </row>
    <row r="21" spans="2:3" s="101" customFormat="1" ht="19.5" customHeight="1" x14ac:dyDescent="0.2">
      <c r="B21" s="116">
        <v>44844</v>
      </c>
      <c r="C21" s="111" t="s">
        <v>96</v>
      </c>
    </row>
    <row r="22" spans="2:3" s="101" customFormat="1" ht="19.5" customHeight="1" x14ac:dyDescent="0.2">
      <c r="B22" s="116">
        <v>44868</v>
      </c>
      <c r="C22" s="111" t="s">
        <v>97</v>
      </c>
    </row>
    <row r="23" spans="2:3" s="101" customFormat="1" ht="19.5" customHeight="1" x14ac:dyDescent="0.2">
      <c r="B23" s="116">
        <v>44888</v>
      </c>
      <c r="C23" s="111" t="s">
        <v>98</v>
      </c>
    </row>
    <row r="24" spans="2:3" s="101" customFormat="1" ht="19.5" customHeight="1" x14ac:dyDescent="0.2">
      <c r="B24" s="116">
        <v>44925</v>
      </c>
      <c r="C24" s="111" t="s">
        <v>99</v>
      </c>
    </row>
    <row r="25" spans="2:3" s="101" customFormat="1" ht="19.5" customHeight="1" x14ac:dyDescent="0.2">
      <c r="B25" s="116">
        <v>44928</v>
      </c>
      <c r="C25" s="111" t="s">
        <v>100</v>
      </c>
    </row>
    <row r="26" spans="2:3" s="101" customFormat="1" ht="19.5" customHeight="1" x14ac:dyDescent="0.2">
      <c r="B26" s="116">
        <v>44929</v>
      </c>
      <c r="C26" s="111" t="s">
        <v>100</v>
      </c>
    </row>
    <row r="27" spans="2:3" s="101" customFormat="1" ht="19.5" customHeight="1" x14ac:dyDescent="0.2">
      <c r="B27" s="116">
        <v>44935</v>
      </c>
      <c r="C27" s="111" t="s">
        <v>101</v>
      </c>
    </row>
    <row r="28" spans="2:3" s="101" customFormat="1" ht="19.5" customHeight="1" x14ac:dyDescent="0.2">
      <c r="B28" s="116">
        <v>44980</v>
      </c>
      <c r="C28" s="111" t="s">
        <v>102</v>
      </c>
    </row>
    <row r="29" spans="2:3" s="101" customFormat="1" ht="19.5" customHeight="1" x14ac:dyDescent="0.2">
      <c r="B29" s="116">
        <v>45006</v>
      </c>
      <c r="C29" s="111" t="s">
        <v>2</v>
      </c>
    </row>
    <row r="30" spans="2:3" s="101" customFormat="1" ht="19.5" customHeight="1" x14ac:dyDescent="0.2">
      <c r="B30" s="116"/>
      <c r="C30" s="111"/>
    </row>
    <row r="31" spans="2:3" s="101" customFormat="1" ht="19.5" customHeight="1" x14ac:dyDescent="0.2">
      <c r="B31" s="116"/>
      <c r="C31" s="111"/>
    </row>
    <row r="32" spans="2:3" s="101" customFormat="1" ht="19.5" customHeight="1" x14ac:dyDescent="0.2">
      <c r="B32" s="116"/>
      <c r="C32" s="111"/>
    </row>
    <row r="33" spans="2:3" s="101" customFormat="1" ht="19.5" customHeight="1" x14ac:dyDescent="0.2">
      <c r="B33" s="116"/>
      <c r="C33" s="111"/>
    </row>
    <row r="34" spans="2:3" s="101" customFormat="1" ht="19.5" customHeight="1" x14ac:dyDescent="0.2">
      <c r="B34" s="116"/>
      <c r="C34" s="111"/>
    </row>
    <row r="35" spans="2:3" s="101" customFormat="1" ht="19.5" customHeight="1" x14ac:dyDescent="0.2">
      <c r="B35" s="116"/>
      <c r="C35" s="111"/>
    </row>
    <row r="36" spans="2:3" s="101" customFormat="1" ht="19.5" customHeight="1" x14ac:dyDescent="0.2">
      <c r="B36" s="116"/>
      <c r="C36" s="111"/>
    </row>
    <row r="37" spans="2:3" s="101" customFormat="1" ht="19.5" customHeight="1" x14ac:dyDescent="0.2">
      <c r="B37" s="116"/>
      <c r="C37" s="111"/>
    </row>
    <row r="38" spans="2:3" s="101" customFormat="1" ht="19.5" customHeight="1" x14ac:dyDescent="0.2">
      <c r="B38" s="116"/>
      <c r="C38" s="111"/>
    </row>
    <row r="39" spans="2:3" s="101" customFormat="1" ht="19.5" customHeight="1" thickBot="1" x14ac:dyDescent="0.25">
      <c r="B39" s="117"/>
      <c r="C39" s="112"/>
    </row>
  </sheetData>
  <protectedRanges>
    <protectedRange sqref="A2:A3" name="日時設定範囲"/>
  </protectedRanges>
  <mergeCells count="2">
    <mergeCell ref="B2:C2"/>
    <mergeCell ref="F2:K2"/>
  </mergeCells>
  <phoneticPr fontId="3"/>
  <pageMargins left="0" right="0" top="0.96" bottom="0" header="0.55000000000000004" footer="0.32"/>
  <pageSetup paperSize="9" scale="91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E32"/>
  <sheetViews>
    <sheetView zoomScaleNormal="100" zoomScaleSheetLayoutView="100" workbookViewId="0"/>
  </sheetViews>
  <sheetFormatPr defaultColWidth="9.109375" defaultRowHeight="18" x14ac:dyDescent="0.2"/>
  <cols>
    <col min="1" max="1" width="1.44140625" style="90" customWidth="1"/>
    <col min="2" max="2" width="16.44140625" style="90" bestFit="1" customWidth="1"/>
    <col min="3" max="3" width="14.33203125" style="90" customWidth="1"/>
    <col min="4" max="4" width="142.88671875" style="90" customWidth="1"/>
    <col min="5" max="5" width="7.6640625" style="90" bestFit="1" customWidth="1"/>
    <col min="6" max="6" width="1.44140625" style="90" customWidth="1"/>
    <col min="7" max="16384" width="9.109375" style="90"/>
  </cols>
  <sheetData>
    <row r="1" spans="2:5" ht="7.5" customHeight="1" x14ac:dyDescent="0.2"/>
    <row r="2" spans="2:5" ht="26.4" x14ac:dyDescent="0.2">
      <c r="B2" s="100" t="s">
        <v>64</v>
      </c>
    </row>
    <row r="3" spans="2:5" x14ac:dyDescent="0.2">
      <c r="B3" s="91" t="s">
        <v>63</v>
      </c>
      <c r="C3" s="91" t="s">
        <v>10</v>
      </c>
      <c r="D3" s="91" t="s">
        <v>6</v>
      </c>
      <c r="E3" s="91" t="s">
        <v>70</v>
      </c>
    </row>
    <row r="4" spans="2:5" ht="90" x14ac:dyDescent="0.2">
      <c r="B4" s="92" t="s">
        <v>71</v>
      </c>
      <c r="C4" s="93">
        <v>44201</v>
      </c>
      <c r="D4" s="94" t="s">
        <v>67</v>
      </c>
      <c r="E4" s="92" t="s">
        <v>68</v>
      </c>
    </row>
    <row r="5" spans="2:5" ht="108" x14ac:dyDescent="0.2">
      <c r="B5" s="95">
        <v>2.1</v>
      </c>
      <c r="C5" s="93">
        <v>44204</v>
      </c>
      <c r="D5" s="94" t="s">
        <v>66</v>
      </c>
      <c r="E5" s="95" t="s">
        <v>69</v>
      </c>
    </row>
    <row r="6" spans="2:5" x14ac:dyDescent="0.2">
      <c r="B6" s="95">
        <v>2.2000000000000002</v>
      </c>
      <c r="C6" s="93">
        <v>44299</v>
      </c>
      <c r="D6" s="96" t="s">
        <v>65</v>
      </c>
      <c r="E6" s="95" t="s">
        <v>69</v>
      </c>
    </row>
    <row r="7" spans="2:5" ht="36" x14ac:dyDescent="0.2">
      <c r="B7" s="97" t="s">
        <v>72</v>
      </c>
      <c r="C7" s="93">
        <v>44379</v>
      </c>
      <c r="D7" s="94" t="s">
        <v>73</v>
      </c>
      <c r="E7" s="97" t="s">
        <v>69</v>
      </c>
    </row>
    <row r="8" spans="2:5" ht="198" x14ac:dyDescent="0.2">
      <c r="B8" s="98"/>
      <c r="C8" s="99">
        <v>44412</v>
      </c>
      <c r="D8" s="94" t="s">
        <v>75</v>
      </c>
      <c r="E8" s="98"/>
    </row>
    <row r="9" spans="2:5" x14ac:dyDescent="0.2">
      <c r="B9" s="98"/>
      <c r="C9" s="99">
        <v>44412</v>
      </c>
      <c r="D9" s="94" t="s">
        <v>79</v>
      </c>
      <c r="E9" s="98"/>
    </row>
    <row r="10" spans="2:5" x14ac:dyDescent="0.2">
      <c r="B10" s="98"/>
      <c r="C10" s="93">
        <v>44414</v>
      </c>
      <c r="D10" s="96" t="s">
        <v>80</v>
      </c>
      <c r="E10" s="98"/>
    </row>
    <row r="11" spans="2:5" ht="90" x14ac:dyDescent="0.2">
      <c r="B11" s="115"/>
      <c r="C11" s="93">
        <v>44460</v>
      </c>
      <c r="D11" s="94" t="s">
        <v>81</v>
      </c>
      <c r="E11" s="115"/>
    </row>
    <row r="12" spans="2:5" x14ac:dyDescent="0.2">
      <c r="B12" s="403" t="s">
        <v>103</v>
      </c>
      <c r="C12" s="93">
        <v>44621</v>
      </c>
      <c r="D12" s="96" t="s">
        <v>104</v>
      </c>
      <c r="E12" s="403" t="s">
        <v>105</v>
      </c>
    </row>
    <row r="13" spans="2:5" ht="36" x14ac:dyDescent="0.2">
      <c r="B13" s="404"/>
      <c r="C13" s="93">
        <v>44628</v>
      </c>
      <c r="D13" s="94" t="s">
        <v>114</v>
      </c>
      <c r="E13" s="404"/>
    </row>
    <row r="14" spans="2:5" x14ac:dyDescent="0.2">
      <c r="B14" s="405"/>
      <c r="C14" s="93">
        <v>44634</v>
      </c>
      <c r="D14" s="96" t="s">
        <v>124</v>
      </c>
      <c r="E14" s="405"/>
    </row>
    <row r="15" spans="2:5" ht="54" x14ac:dyDescent="0.2">
      <c r="B15" s="95" t="s">
        <v>125</v>
      </c>
      <c r="C15" s="93">
        <v>44637</v>
      </c>
      <c r="D15" s="94" t="s">
        <v>127</v>
      </c>
      <c r="E15" s="95" t="s">
        <v>126</v>
      </c>
    </row>
    <row r="16" spans="2:5" ht="72" x14ac:dyDescent="0.2">
      <c r="B16" s="95" t="s">
        <v>128</v>
      </c>
      <c r="C16" s="93">
        <v>44644</v>
      </c>
      <c r="D16" s="94" t="s">
        <v>130</v>
      </c>
      <c r="E16" s="95" t="s">
        <v>129</v>
      </c>
    </row>
    <row r="17" spans="2:5" x14ac:dyDescent="0.2">
      <c r="B17" s="95" t="s">
        <v>131</v>
      </c>
      <c r="C17" s="93">
        <v>44648</v>
      </c>
      <c r="D17" s="96" t="s">
        <v>132</v>
      </c>
      <c r="E17" s="95" t="s">
        <v>133</v>
      </c>
    </row>
    <row r="18" spans="2:5" x14ac:dyDescent="0.2">
      <c r="B18" s="95"/>
      <c r="C18" s="93"/>
      <c r="D18" s="96"/>
      <c r="E18" s="95"/>
    </row>
    <row r="19" spans="2:5" x14ac:dyDescent="0.2">
      <c r="B19" s="95"/>
      <c r="C19" s="93"/>
      <c r="D19" s="96"/>
      <c r="E19" s="95"/>
    </row>
    <row r="20" spans="2:5" x14ac:dyDescent="0.2">
      <c r="B20" s="95"/>
      <c r="C20" s="93"/>
      <c r="D20" s="96"/>
      <c r="E20" s="95"/>
    </row>
    <row r="21" spans="2:5" x14ac:dyDescent="0.2">
      <c r="B21" s="95"/>
      <c r="C21" s="93"/>
      <c r="D21" s="96"/>
      <c r="E21" s="95"/>
    </row>
    <row r="22" spans="2:5" x14ac:dyDescent="0.2">
      <c r="B22" s="95"/>
      <c r="C22" s="93"/>
      <c r="D22" s="96"/>
      <c r="E22" s="95"/>
    </row>
    <row r="23" spans="2:5" x14ac:dyDescent="0.2">
      <c r="B23" s="95"/>
      <c r="C23" s="93"/>
      <c r="D23" s="96"/>
      <c r="E23" s="95"/>
    </row>
    <row r="24" spans="2:5" x14ac:dyDescent="0.2">
      <c r="B24" s="95"/>
      <c r="C24" s="93"/>
      <c r="D24" s="96"/>
      <c r="E24" s="95"/>
    </row>
    <row r="25" spans="2:5" x14ac:dyDescent="0.2">
      <c r="B25" s="95"/>
      <c r="C25" s="93"/>
      <c r="D25" s="96"/>
      <c r="E25" s="95"/>
    </row>
    <row r="26" spans="2:5" x14ac:dyDescent="0.2">
      <c r="B26" s="95"/>
      <c r="C26" s="93"/>
      <c r="D26" s="96"/>
      <c r="E26" s="95"/>
    </row>
    <row r="27" spans="2:5" x14ac:dyDescent="0.2">
      <c r="B27" s="95"/>
      <c r="C27" s="93"/>
      <c r="D27" s="96"/>
      <c r="E27" s="95"/>
    </row>
    <row r="28" spans="2:5" x14ac:dyDescent="0.2">
      <c r="B28" s="95"/>
      <c r="C28" s="93"/>
      <c r="D28" s="96"/>
      <c r="E28" s="95"/>
    </row>
    <row r="29" spans="2:5" x14ac:dyDescent="0.2">
      <c r="B29" s="95"/>
      <c r="C29" s="93"/>
      <c r="D29" s="96"/>
      <c r="E29" s="95"/>
    </row>
    <row r="30" spans="2:5" x14ac:dyDescent="0.2">
      <c r="B30" s="95"/>
      <c r="C30" s="93"/>
      <c r="D30" s="96"/>
      <c r="E30" s="95"/>
    </row>
    <row r="31" spans="2:5" x14ac:dyDescent="0.2">
      <c r="B31" s="95"/>
      <c r="C31" s="93"/>
      <c r="D31" s="96"/>
      <c r="E31" s="95"/>
    </row>
    <row r="32" spans="2:5" x14ac:dyDescent="0.2">
      <c r="B32" s="95"/>
      <c r="C32" s="93"/>
      <c r="D32" s="96"/>
      <c r="E32" s="95"/>
    </row>
  </sheetData>
  <mergeCells count="2">
    <mergeCell ref="E12:E14"/>
    <mergeCell ref="B12:B14"/>
  </mergeCells>
  <phoneticPr fontId="3"/>
  <pageMargins left="0" right="0" top="0.94488188976377963" bottom="0" header="0.55118110236220474" footer="0.31496062992125984"/>
  <pageSetup paperSize="9" scale="8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9</vt:i4>
      </vt:variant>
    </vt:vector>
  </HeadingPairs>
  <TitlesOfParts>
    <vt:vector size="14" baseType="lpstr">
      <vt:lpstr>作業報告書</vt:lpstr>
      <vt:lpstr>外出交通費精算明細書 (3段)</vt:lpstr>
      <vt:lpstr>外出交通費精算明細書 (4段)</vt:lpstr>
      <vt:lpstr>祝日</vt:lpstr>
      <vt:lpstr>改版履歴</vt:lpstr>
      <vt:lpstr>改版履歴!Print_Area</vt:lpstr>
      <vt:lpstr>'外出交通費精算明細書 (3段)'!Print_Area</vt:lpstr>
      <vt:lpstr>'外出交通費精算明細書 (4段)'!Print_Area</vt:lpstr>
      <vt:lpstr>作業報告書!Print_Area</vt:lpstr>
      <vt:lpstr>祝日</vt:lpstr>
      <vt:lpstr>進捗欄</vt:lpstr>
      <vt:lpstr>部署名</vt:lpstr>
      <vt:lpstr>有給欄種類</vt:lpstr>
      <vt:lpstr>有給欄表</vt:lpstr>
    </vt:vector>
  </TitlesOfParts>
  <Company>株式会社 日放電子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作業報告書</dc:title>
  <dc:subject>Ver.2.7</dc:subject>
  <dc:creator>ソフトウェア事業部</dc:creator>
  <cp:lastModifiedBy>1702-11</cp:lastModifiedBy>
  <cp:lastPrinted>2021-01-05T05:10:12Z</cp:lastPrinted>
  <dcterms:created xsi:type="dcterms:W3CDTF">1998-01-08T06:35:13Z</dcterms:created>
  <dcterms:modified xsi:type="dcterms:W3CDTF">2022-04-22T06:29:19Z</dcterms:modified>
</cp:coreProperties>
</file>